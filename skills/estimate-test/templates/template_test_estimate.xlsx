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Estimate Detail" sheetId="2" state="visible" r:id="rId2"/>
    <sheet xmlns:r="http://schemas.openxmlformats.org/officeDocument/2006/relationships" name="Estimate Summary" sheetId="3" state="visible" r:id="rId3"/>
    <sheet xmlns:r="http://schemas.openxmlformats.org/officeDocument/2006/relationships" name="Assumptions &amp; Risks" sheetId="4" state="visible" r:id="rId4"/>
  </sheets>
  <definedNames>
    <definedName name="bugs_per_module">'Rate Card'!$B$66</definedName>
    <definedName name="expected_defect_rate">'Rate Card'!$B$67</definedName>
    <definedName name="retest_rounds">'Rate Card'!$B$68</definedName>
    <definedName name="bug_followup_rate">'Rate Card'!$B$69</definedName>
    <definedName name="regression_scope_rate">'Rate Card'!$B$70</definedName>
    <definedName name="rework_rounds">'Rate Card'!$B$71</definedName>
    <definedName name="qa_round_per_module">'Rate Card'!$B$72</definedName>
    <definedName name="buffer_pct">'Rate Card'!$B$73</definedName>
    <definedName name="hours_per_manday">'Rate Card'!$B$74</definedName>
    <definedName name="enum_correction">'Rate Card'!$B$75</definedName>
    <definedName name="tc_per_req_item">'Rate Card'!$B$76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3864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1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9" fontId="0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TEST ESTIMATE — RATE CARD (chỉ cần tune ở sheet này)</t>
        </is>
      </c>
    </row>
    <row r="3">
      <c r="A3" s="2" t="inlineStr">
        <is>
          <t>1. BASE RATE — giờ / đơn vị, tính cho level Middle (baseline). G* = chỉ định AI gen · A* = người làm · S* = support · R1 = rework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Code</t>
        </is>
      </c>
      <c r="B4" s="4" t="inlineStr">
        <is>
          <t>Activity</t>
        </is>
      </c>
      <c r="C4" s="4" t="inlineStr">
        <is>
          <t>Đơn vị khối lượng</t>
        </is>
      </c>
      <c r="D4" s="4" t="inlineStr">
        <is>
          <t>S</t>
        </is>
      </c>
      <c r="E4" s="4" t="inlineStr">
        <is>
          <t>M</t>
        </is>
      </c>
      <c r="F4" s="4" t="inlineStr">
        <is>
          <t>L</t>
        </is>
      </c>
      <c r="G4" s="4" t="inlineStr">
        <is>
          <t>XL</t>
        </is>
      </c>
    </row>
    <row r="5">
      <c r="A5" s="5" t="inlineStr">
        <is>
          <t>G1</t>
        </is>
      </c>
      <c r="B5" s="5" t="inlineStr">
        <is>
          <t>Chuẩn bị input + chỉ định AI gen ticket task test</t>
        </is>
      </c>
      <c r="C5" s="5" t="inlineStr">
        <is>
          <t>ticket</t>
        </is>
      </c>
      <c r="D5" s="6" t="n">
        <v>0.03</v>
      </c>
      <c r="E5" s="6" t="n">
        <v>0.05</v>
      </c>
      <c r="F5" s="6" t="n">
        <v>0.065</v>
      </c>
      <c r="G5" s="6" t="n">
        <v>0.08</v>
      </c>
    </row>
    <row r="6">
      <c r="A6" s="5" t="inlineStr">
        <is>
          <t>A1</t>
        </is>
      </c>
      <c r="B6" s="5" t="inlineStr">
        <is>
          <t>Review ticket task test AI gen</t>
        </is>
      </c>
      <c r="C6" s="5" t="inlineStr">
        <is>
          <t>ticket</t>
        </is>
      </c>
      <c r="D6" s="6" t="n">
        <v>0.03</v>
      </c>
      <c r="E6" s="6" t="n">
        <v>0.05</v>
      </c>
      <c r="F6" s="6" t="n">
        <v>0.065</v>
      </c>
      <c r="G6" s="6" t="n">
        <v>0.08</v>
      </c>
    </row>
    <row r="7">
      <c r="A7" s="5" t="inlineStr">
        <is>
          <t>G2</t>
        </is>
      </c>
      <c r="B7" s="5" t="inlineStr">
        <is>
          <t>Dựng manifest + chỉ định AI gen requirement</t>
        </is>
      </c>
      <c r="C7" s="5" t="inlineStr">
        <is>
          <t>lần chạy</t>
        </is>
      </c>
      <c r="D7" s="6" t="n">
        <v>0.08</v>
      </c>
      <c r="E7" s="6" t="n">
        <v>0.12</v>
      </c>
      <c r="F7" s="6" t="n">
        <v>0.16</v>
      </c>
      <c r="G7" s="6" t="n">
        <v>0.2</v>
      </c>
    </row>
    <row r="8">
      <c r="A8" s="5" t="inlineStr">
        <is>
          <t>A2</t>
        </is>
      </c>
      <c r="B8" s="5" t="inlineStr">
        <is>
          <t>Đọc hiểu + review requirement AI tạo</t>
        </is>
      </c>
      <c r="C8" s="5" t="inlineStr">
        <is>
          <t>requirement item</t>
        </is>
      </c>
      <c r="D8" s="6" t="n">
        <v>0.02</v>
      </c>
      <c r="E8" s="6" t="n">
        <v>0.025</v>
      </c>
      <c r="F8" s="6" t="n">
        <v>0.03</v>
      </c>
      <c r="G8" s="6" t="n">
        <v>0.04</v>
      </c>
    </row>
    <row r="9">
      <c r="A9" s="5" t="inlineStr">
        <is>
          <t>A2b</t>
        </is>
      </c>
      <c r="B9" s="5" t="inlineStr">
        <is>
          <t>Q&amp;A phân tích yêu cầu + confirm với PO</t>
        </is>
      </c>
      <c r="C9" s="5" t="inlineStr">
        <is>
          <t>vòng Q&amp;A</t>
        </is>
      </c>
      <c r="D9" s="6" t="n">
        <v>0.15</v>
      </c>
      <c r="E9" s="6" t="n">
        <v>0.25</v>
      </c>
      <c r="F9" s="6" t="n">
        <v>0.32</v>
      </c>
      <c r="G9" s="6" t="n">
        <v>0.4</v>
      </c>
    </row>
    <row r="10">
      <c r="A10" s="5" t="inlineStr">
        <is>
          <t>G3</t>
        </is>
      </c>
      <c r="B10" s="5" t="inlineStr">
        <is>
          <t>Chỉ định AI gen test case</t>
        </is>
      </c>
      <c r="C10" s="5" t="inlineStr">
        <is>
          <t>lần chạy</t>
        </is>
      </c>
      <c r="D10" s="6" t="n">
        <v>0.103</v>
      </c>
      <c r="E10" s="6" t="n">
        <v>0.155</v>
      </c>
      <c r="F10" s="6" t="n">
        <v>0.207</v>
      </c>
      <c r="G10" s="6" t="n">
        <v>0.258</v>
      </c>
    </row>
    <row r="11">
      <c r="A11" s="5" t="inlineStr">
        <is>
          <t>A3</t>
        </is>
      </c>
      <c r="B11" s="5" t="inlineStr">
        <is>
          <t>Review test case AI gen + update</t>
        </is>
      </c>
      <c r="C11" s="5" t="inlineStr">
        <is>
          <t>test case</t>
        </is>
      </c>
      <c r="D11" s="6" t="n">
        <v>0.026</v>
      </c>
      <c r="E11" s="6" t="n">
        <v>0.034</v>
      </c>
      <c r="F11" s="6" t="n">
        <v>0.043</v>
      </c>
      <c r="G11" s="6" t="n">
        <v>0.051</v>
      </c>
    </row>
    <row r="12">
      <c r="A12" s="5" t="inlineStr">
        <is>
          <t>S1</t>
        </is>
      </c>
      <c r="B12" s="5" t="inlineStr">
        <is>
          <t>Setup môi trường test + account / quyền</t>
        </is>
      </c>
      <c r="C12" s="5" t="inlineStr">
        <is>
          <t>môi trường</t>
        </is>
      </c>
      <c r="D12" s="6" t="n">
        <v>0.5</v>
      </c>
      <c r="E12" s="6" t="n">
        <v>1</v>
      </c>
      <c r="F12" s="6" t="n">
        <v>2</v>
      </c>
      <c r="G12" s="6" t="n">
        <v>3</v>
      </c>
    </row>
    <row r="13">
      <c r="A13" s="5" t="inlineStr">
        <is>
          <t>S2</t>
        </is>
      </c>
      <c r="B13" s="5" t="inlineStr">
        <is>
          <t>Chuẩn bị test data</t>
        </is>
      </c>
      <c r="C13" s="5" t="inlineStr">
        <is>
          <t>bộ data</t>
        </is>
      </c>
      <c r="D13" s="6" t="n">
        <v>0.5</v>
      </c>
      <c r="E13" s="6" t="n">
        <v>1</v>
      </c>
      <c r="F13" s="6" t="n">
        <v>1.5</v>
      </c>
      <c r="G13" s="6" t="n">
        <v>2.5</v>
      </c>
    </row>
    <row r="14">
      <c r="A14" s="5" t="inlineStr">
        <is>
          <t>A4</t>
        </is>
      </c>
      <c r="B14" s="5" t="inlineStr">
        <is>
          <t>Execute test</t>
        </is>
      </c>
      <c r="C14" s="5" t="inlineStr">
        <is>
          <t>test case</t>
        </is>
      </c>
      <c r="D14" s="6" t="n">
        <v>0.065</v>
      </c>
      <c r="E14" s="6" t="n">
        <v>0.081</v>
      </c>
      <c r="F14" s="6" t="n">
        <v>0.105</v>
      </c>
      <c r="G14" s="6" t="n">
        <v>0.13</v>
      </c>
    </row>
    <row r="15">
      <c r="A15" s="5" t="inlineStr">
        <is>
          <t>G4</t>
        </is>
      </c>
      <c r="B15" s="5" t="inlineStr">
        <is>
          <t>Cung cấp evidence + chỉ định AI log bug</t>
        </is>
      </c>
      <c r="C15" s="5" t="inlineStr">
        <is>
          <t>bug</t>
        </is>
      </c>
      <c r="D15" s="6" t="n">
        <v>0.015</v>
      </c>
      <c r="E15" s="6" t="n">
        <v>0.02</v>
      </c>
      <c r="F15" s="6" t="n">
        <v>0.025</v>
      </c>
      <c r="G15" s="6" t="n">
        <v>0.03</v>
      </c>
    </row>
    <row r="16">
      <c r="A16" s="5" t="inlineStr">
        <is>
          <t>A4b</t>
        </is>
      </c>
      <c r="B16" s="5" t="inlineStr">
        <is>
          <t>Review bug AI log (dedupe / severity / repro)</t>
        </is>
      </c>
      <c r="C16" s="5" t="inlineStr">
        <is>
          <t>bug</t>
        </is>
      </c>
      <c r="D16" s="6" t="n">
        <v>0.04</v>
      </c>
      <c r="E16" s="6" t="n">
        <v>0.05</v>
      </c>
      <c r="F16" s="6" t="n">
        <v>0.065</v>
      </c>
      <c r="G16" s="6" t="n">
        <v>0.08</v>
      </c>
    </row>
    <row r="17">
      <c r="A17" s="5" t="inlineStr">
        <is>
          <t>A5</t>
        </is>
      </c>
      <c r="B17" s="5" t="inlineStr">
        <is>
          <t>Verify bug</t>
        </is>
      </c>
      <c r="C17" s="5" t="inlineStr">
        <is>
          <t>bug × round</t>
        </is>
      </c>
      <c r="D17" s="6" t="n">
        <v>0.158</v>
      </c>
      <c r="E17" s="6" t="n">
        <v>0.19</v>
      </c>
      <c r="F17" s="6" t="n">
        <v>0.253</v>
      </c>
      <c r="G17" s="6" t="n">
        <v>0.317</v>
      </c>
    </row>
    <row r="18">
      <c r="A18" s="5" t="inlineStr">
        <is>
          <t>S3</t>
        </is>
      </c>
      <c r="B18" s="5" t="inlineStr">
        <is>
          <t>Follow-up bug (reject / reopen / trao đổi dev)</t>
        </is>
      </c>
      <c r="C18" s="5" t="inlineStr">
        <is>
          <t>bug</t>
        </is>
      </c>
      <c r="D18" s="6" t="n">
        <v>0.015</v>
      </c>
      <c r="E18" s="6" t="n">
        <v>0.02</v>
      </c>
      <c r="F18" s="6" t="n">
        <v>0.025</v>
      </c>
      <c r="G18" s="6" t="n">
        <v>0.03</v>
      </c>
    </row>
    <row r="19">
      <c r="A19" s="5" t="inlineStr">
        <is>
          <t>S4</t>
        </is>
      </c>
      <c r="B19" s="5" t="inlineStr">
        <is>
          <t>Regression test vùng ảnh hưởng</t>
        </is>
      </c>
      <c r="C19" s="5" t="inlineStr">
        <is>
          <t>test case</t>
        </is>
      </c>
      <c r="D19" s="6" t="n">
        <v>0.02</v>
      </c>
      <c r="E19" s="6" t="n">
        <v>0.025</v>
      </c>
      <c r="F19" s="6" t="n">
        <v>0.03</v>
      </c>
      <c r="G19" s="6" t="n">
        <v>0.04</v>
      </c>
    </row>
    <row r="20">
      <c r="A20" s="5" t="inlineStr">
        <is>
          <t>R1</t>
        </is>
      </c>
      <c r="B20" s="5" t="inlineStr">
        <is>
          <t>Re-prompt + review lại (rework output AI / requirement đổi)</t>
        </is>
      </c>
      <c r="C20" s="5" t="inlineStr">
        <is>
          <t>vòng rework</t>
        </is>
      </c>
      <c r="D20" s="6" t="n">
        <v>0.08</v>
      </c>
      <c r="E20" s="6" t="n">
        <v>0.12</v>
      </c>
      <c r="F20" s="6" t="n">
        <v>0.16</v>
      </c>
      <c r="G20" s="6" t="n">
        <v>0.2</v>
      </c>
    </row>
    <row r="21">
      <c r="A21" s="5" t="inlineStr">
        <is>
          <t>G5</t>
        </is>
      </c>
      <c r="B21" s="5" t="inlineStr">
        <is>
          <t>Chỉ định AI gen test report</t>
        </is>
      </c>
      <c r="C21" s="5" t="inlineStr">
        <is>
          <t>module</t>
        </is>
      </c>
      <c r="D21" s="6" t="n">
        <v>0.04</v>
      </c>
      <c r="E21" s="6" t="n">
        <v>0.06</v>
      </c>
      <c r="F21" s="6" t="n">
        <v>0.08</v>
      </c>
      <c r="G21" s="6" t="n">
        <v>0.1</v>
      </c>
    </row>
    <row r="22">
      <c r="A22" s="5" t="inlineStr">
        <is>
          <t>A6</t>
        </is>
      </c>
      <c r="B22" s="5" t="inlineStr">
        <is>
          <t>Review + chốt test report, cập nhật status ticket</t>
        </is>
      </c>
      <c r="C22" s="5" t="inlineStr">
        <is>
          <t>module</t>
        </is>
      </c>
      <c r="D22" s="6" t="n">
        <v>0.06</v>
      </c>
      <c r="E22" s="6" t="n">
        <v>0.09</v>
      </c>
      <c r="F22" s="6" t="n">
        <v>0.12</v>
      </c>
      <c r="G22" s="6" t="n">
        <v>0.15</v>
      </c>
    </row>
    <row r="24">
      <c r="A24" s="2" t="inlineStr">
        <is>
          <t>2. LEVEL FACTOR — nhân vào base rate theo level người thực hiện</t>
        </is>
      </c>
      <c r="B24" s="3" t="n"/>
      <c r="C24" s="3" t="n"/>
      <c r="D24" s="3" t="n"/>
      <c r="E24" s="3" t="n"/>
      <c r="F24" s="3" t="n"/>
      <c r="G24" s="3" t="n"/>
    </row>
    <row r="25">
      <c r="A25" s="4" t="inlineStr">
        <is>
          <t>Level</t>
        </is>
      </c>
      <c r="B25" s="4" t="inlineStr">
        <is>
          <t>Factor</t>
        </is>
      </c>
      <c r="C25" s="4" t="inlineStr">
        <is>
          <t>Rank</t>
        </is>
      </c>
      <c r="D25" s="4" t="inlineStr">
        <is>
          <t>Ghi chú</t>
        </is>
      </c>
    </row>
    <row r="26">
      <c r="A26" s="5" t="inlineStr">
        <is>
          <t>Fresher</t>
        </is>
      </c>
      <c r="B26" s="6" t="n">
        <v>1.6</v>
      </c>
      <c r="C26" s="7" t="n">
        <v>1</v>
      </c>
      <c r="D26" s="5" t="inlineStr">
        <is>
          <t>Chưa đủ nền phản biện output AI → đọc lại nhiều vòng, dễ sót lỗi logic</t>
        </is>
      </c>
    </row>
    <row r="27">
      <c r="A27" s="5" t="inlineStr">
        <is>
          <t>Junior</t>
        </is>
      </c>
      <c r="B27" s="6" t="n">
        <v>1.3</v>
      </c>
      <c r="C27" s="7" t="n">
        <v>2</v>
      </c>
      <c r="D27" s="5" t="inlineStr">
        <is>
          <t>Review được nhưng phải đối chiếu requirement từng dòng</t>
        </is>
      </c>
    </row>
    <row r="28">
      <c r="A28" s="5" t="inlineStr">
        <is>
          <t>Middle</t>
        </is>
      </c>
      <c r="B28" s="6" t="n">
        <v>1</v>
      </c>
      <c r="C28" s="7" t="n">
        <v>3</v>
      </c>
      <c r="D28" s="5" t="inlineStr">
        <is>
          <t>Baseline của bảng base rate</t>
        </is>
      </c>
    </row>
    <row r="29">
      <c r="A29" s="5" t="inlineStr">
        <is>
          <t>Senior</t>
        </is>
      </c>
      <c r="B29" s="6" t="n">
        <v>0.8</v>
      </c>
      <c r="C29" s="7" t="n">
        <v>4</v>
      </c>
      <c r="D29" s="5" t="inlineStr">
        <is>
          <t>Bắt sai lệch AI nhanh, quyết được điểm mờ, ít vòng lặp</t>
        </is>
      </c>
    </row>
    <row r="31">
      <c r="A31" s="2" t="inlineStr">
        <is>
          <t>3. LEVEL TỐI THIỂU THEO ACTIVITY — gán thấp hơn thì cộng phụ phí senior review. Nhạy level = 0 → Level factor cứng 1.00 (nhóm G*: giờ chỉ định AI gen không đổi theo level)</t>
        </is>
      </c>
      <c r="B31" s="3" t="n"/>
      <c r="C31" s="3" t="n"/>
      <c r="D31" s="3" t="n"/>
      <c r="E31" s="3" t="n"/>
      <c r="F31" s="3" t="n"/>
      <c r="G31" s="3" t="n"/>
    </row>
    <row r="32">
      <c r="A32" s="4" t="inlineStr">
        <is>
          <t>Code</t>
        </is>
      </c>
      <c r="B32" s="4" t="inlineStr">
        <is>
          <t>Activity</t>
        </is>
      </c>
      <c r="C32" s="4" t="inlineStr">
        <is>
          <t>Level tối thiểu</t>
        </is>
      </c>
      <c r="D32" s="4" t="inlineStr">
        <is>
          <t>Min rank</t>
        </is>
      </c>
      <c r="E32" s="4" t="inlineStr">
        <is>
          <t>Phụ phí senior review</t>
        </is>
      </c>
      <c r="F32" s="4" t="inlineStr">
        <is>
          <t>Nhạy level? (1/0)</t>
        </is>
      </c>
    </row>
    <row r="33">
      <c r="A33" s="5" t="inlineStr">
        <is>
          <t>G1</t>
        </is>
      </c>
      <c r="B33" s="5" t="inlineStr">
        <is>
          <t>Chuẩn bị input + chỉ định AI gen ticket task test</t>
        </is>
      </c>
      <c r="C33" s="5" t="inlineStr">
        <is>
          <t>Fresher</t>
        </is>
      </c>
      <c r="D33" s="7" t="n">
        <v>1</v>
      </c>
      <c r="E33" s="8" t="n">
        <v>0</v>
      </c>
      <c r="F33" s="9" t="n">
        <v>0</v>
      </c>
    </row>
    <row r="34">
      <c r="A34" s="5" t="inlineStr">
        <is>
          <t>A1</t>
        </is>
      </c>
      <c r="B34" s="5" t="inlineStr">
        <is>
          <t>Review ticket task test AI gen</t>
        </is>
      </c>
      <c r="C34" s="5" t="inlineStr">
        <is>
          <t>Junior</t>
        </is>
      </c>
      <c r="D34" s="7" t="n">
        <v>2</v>
      </c>
      <c r="E34" s="8" t="n">
        <v>0.2</v>
      </c>
      <c r="F34" s="9" t="n">
        <v>1</v>
      </c>
    </row>
    <row r="35">
      <c r="A35" s="5" t="inlineStr">
        <is>
          <t>G2</t>
        </is>
      </c>
      <c r="B35" s="5" t="inlineStr">
        <is>
          <t>Dựng manifest + chỉ định AI gen requirement</t>
        </is>
      </c>
      <c r="C35" s="5" t="inlineStr">
        <is>
          <t>Middle</t>
        </is>
      </c>
      <c r="D35" s="7" t="n">
        <v>3</v>
      </c>
      <c r="E35" s="8" t="n">
        <v>0.3</v>
      </c>
      <c r="F35" s="9" t="n">
        <v>0</v>
      </c>
    </row>
    <row r="36">
      <c r="A36" s="5" t="inlineStr">
        <is>
          <t>A2</t>
        </is>
      </c>
      <c r="B36" s="5" t="inlineStr">
        <is>
          <t>Đọc hiểu + review requirement AI tạo</t>
        </is>
      </c>
      <c r="C36" s="5" t="inlineStr">
        <is>
          <t>Middle</t>
        </is>
      </c>
      <c r="D36" s="7" t="n">
        <v>3</v>
      </c>
      <c r="E36" s="8" t="n">
        <v>0.3</v>
      </c>
      <c r="F36" s="9" t="n">
        <v>1</v>
      </c>
    </row>
    <row r="37">
      <c r="A37" s="5" t="inlineStr">
        <is>
          <t>A2b</t>
        </is>
      </c>
      <c r="B37" s="5" t="inlineStr">
        <is>
          <t>Q&amp;A phân tích yêu cầu + confirm với PO</t>
        </is>
      </c>
      <c r="C37" s="5" t="inlineStr">
        <is>
          <t>Middle</t>
        </is>
      </c>
      <c r="D37" s="7" t="n">
        <v>3</v>
      </c>
      <c r="E37" s="8" t="n">
        <v>0.3</v>
      </c>
      <c r="F37" s="9" t="n">
        <v>1</v>
      </c>
    </row>
    <row r="38">
      <c r="A38" s="5" t="inlineStr">
        <is>
          <t>G3</t>
        </is>
      </c>
      <c r="B38" s="5" t="inlineStr">
        <is>
          <t>Chỉ định AI gen test case</t>
        </is>
      </c>
      <c r="C38" s="5" t="inlineStr">
        <is>
          <t>Junior</t>
        </is>
      </c>
      <c r="D38" s="7" t="n">
        <v>2</v>
      </c>
      <c r="E38" s="8" t="n">
        <v>0.2</v>
      </c>
      <c r="F38" s="9" t="n">
        <v>0</v>
      </c>
    </row>
    <row r="39">
      <c r="A39" s="5" t="inlineStr">
        <is>
          <t>A3</t>
        </is>
      </c>
      <c r="B39" s="5" t="inlineStr">
        <is>
          <t>Review test case AI gen + update</t>
        </is>
      </c>
      <c r="C39" s="5" t="inlineStr">
        <is>
          <t>Junior</t>
        </is>
      </c>
      <c r="D39" s="7" t="n">
        <v>2</v>
      </c>
      <c r="E39" s="8" t="n">
        <v>0.2</v>
      </c>
      <c r="F39" s="9" t="n">
        <v>1</v>
      </c>
    </row>
    <row r="40">
      <c r="A40" s="5" t="inlineStr">
        <is>
          <t>S1</t>
        </is>
      </c>
      <c r="B40" s="5" t="inlineStr">
        <is>
          <t>Setup môi trường test + account / quyền</t>
        </is>
      </c>
      <c r="C40" s="5" t="inlineStr">
        <is>
          <t>Junior</t>
        </is>
      </c>
      <c r="D40" s="7" t="n">
        <v>2</v>
      </c>
      <c r="E40" s="8" t="n">
        <v>0.2</v>
      </c>
      <c r="F40" s="9" t="n">
        <v>1</v>
      </c>
    </row>
    <row r="41">
      <c r="A41" s="5" t="inlineStr">
        <is>
          <t>S2</t>
        </is>
      </c>
      <c r="B41" s="5" t="inlineStr">
        <is>
          <t>Chuẩn bị test data</t>
        </is>
      </c>
      <c r="C41" s="5" t="inlineStr">
        <is>
          <t>Junior</t>
        </is>
      </c>
      <c r="D41" s="7" t="n">
        <v>2</v>
      </c>
      <c r="E41" s="8" t="n">
        <v>0.2</v>
      </c>
      <c r="F41" s="9" t="n">
        <v>1</v>
      </c>
    </row>
    <row r="42">
      <c r="A42" s="5" t="inlineStr">
        <is>
          <t>A4</t>
        </is>
      </c>
      <c r="B42" s="5" t="inlineStr">
        <is>
          <t>Execute test</t>
        </is>
      </c>
      <c r="C42" s="5" t="inlineStr">
        <is>
          <t>Fresher</t>
        </is>
      </c>
      <c r="D42" s="7" t="n">
        <v>1</v>
      </c>
      <c r="E42" s="8" t="n">
        <v>0</v>
      </c>
      <c r="F42" s="9" t="n">
        <v>1</v>
      </c>
    </row>
    <row r="43">
      <c r="A43" s="5" t="inlineStr">
        <is>
          <t>G4</t>
        </is>
      </c>
      <c r="B43" s="5" t="inlineStr">
        <is>
          <t>Cung cấp evidence + chỉ định AI log bug</t>
        </is>
      </c>
      <c r="C43" s="5" t="inlineStr">
        <is>
          <t>Junior</t>
        </is>
      </c>
      <c r="D43" s="7" t="n">
        <v>2</v>
      </c>
      <c r="E43" s="8" t="n">
        <v>0.2</v>
      </c>
      <c r="F43" s="9" t="n">
        <v>0</v>
      </c>
    </row>
    <row r="44">
      <c r="A44" s="5" t="inlineStr">
        <is>
          <t>A4b</t>
        </is>
      </c>
      <c r="B44" s="5" t="inlineStr">
        <is>
          <t>Review bug AI log (dedupe / severity / repro)</t>
        </is>
      </c>
      <c r="C44" s="5" t="inlineStr">
        <is>
          <t>Junior</t>
        </is>
      </c>
      <c r="D44" s="7" t="n">
        <v>2</v>
      </c>
      <c r="E44" s="8" t="n">
        <v>0.2</v>
      </c>
      <c r="F44" s="9" t="n">
        <v>1</v>
      </c>
    </row>
    <row r="45">
      <c r="A45" s="5" t="inlineStr">
        <is>
          <t>A5</t>
        </is>
      </c>
      <c r="B45" s="5" t="inlineStr">
        <is>
          <t>Verify bug</t>
        </is>
      </c>
      <c r="C45" s="5" t="inlineStr">
        <is>
          <t>Fresher</t>
        </is>
      </c>
      <c r="D45" s="7" t="n">
        <v>1</v>
      </c>
      <c r="E45" s="8" t="n">
        <v>0</v>
      </c>
      <c r="F45" s="9" t="n">
        <v>1</v>
      </c>
    </row>
    <row r="46">
      <c r="A46" s="5" t="inlineStr">
        <is>
          <t>S3</t>
        </is>
      </c>
      <c r="B46" s="5" t="inlineStr">
        <is>
          <t>Follow-up bug (reject / reopen / trao đổi dev)</t>
        </is>
      </c>
      <c r="C46" s="5" t="inlineStr">
        <is>
          <t>Junior</t>
        </is>
      </c>
      <c r="D46" s="7" t="n">
        <v>2</v>
      </c>
      <c r="E46" s="8" t="n">
        <v>0.2</v>
      </c>
      <c r="F46" s="9" t="n">
        <v>1</v>
      </c>
    </row>
    <row r="47">
      <c r="A47" s="5" t="inlineStr">
        <is>
          <t>S4</t>
        </is>
      </c>
      <c r="B47" s="5" t="inlineStr">
        <is>
          <t>Regression test vùng ảnh hưởng</t>
        </is>
      </c>
      <c r="C47" s="5" t="inlineStr">
        <is>
          <t>Fresher</t>
        </is>
      </c>
      <c r="D47" s="7" t="n">
        <v>1</v>
      </c>
      <c r="E47" s="8" t="n">
        <v>0</v>
      </c>
      <c r="F47" s="9" t="n">
        <v>1</v>
      </c>
    </row>
    <row r="48">
      <c r="A48" s="5" t="inlineStr">
        <is>
          <t>R1</t>
        </is>
      </c>
      <c r="B48" s="5" t="inlineStr">
        <is>
          <t>Re-prompt + review lại (rework output AI / requirement đổi)</t>
        </is>
      </c>
      <c r="C48" s="5" t="inlineStr">
        <is>
          <t>Middle</t>
        </is>
      </c>
      <c r="D48" s="7" t="n">
        <v>3</v>
      </c>
      <c r="E48" s="8" t="n">
        <v>0.3</v>
      </c>
      <c r="F48" s="9" t="n">
        <v>1</v>
      </c>
    </row>
    <row r="49">
      <c r="A49" s="5" t="inlineStr">
        <is>
          <t>G5</t>
        </is>
      </c>
      <c r="B49" s="5" t="inlineStr">
        <is>
          <t>Chỉ định AI gen test report</t>
        </is>
      </c>
      <c r="C49" s="5" t="inlineStr">
        <is>
          <t>Fresher</t>
        </is>
      </c>
      <c r="D49" s="7" t="n">
        <v>1</v>
      </c>
      <c r="E49" s="8" t="n">
        <v>0</v>
      </c>
      <c r="F49" s="9" t="n">
        <v>0</v>
      </c>
    </row>
    <row r="50">
      <c r="A50" s="5" t="inlineStr">
        <is>
          <t>A6</t>
        </is>
      </c>
      <c r="B50" s="5" t="inlineStr">
        <is>
          <t>Review + chốt test report, cập nhật status ticket</t>
        </is>
      </c>
      <c r="C50" s="5" t="inlineStr">
        <is>
          <t>Middle</t>
        </is>
      </c>
      <c r="D50" s="7" t="n">
        <v>3</v>
      </c>
      <c r="E50" s="8" t="n">
        <v>0.3</v>
      </c>
      <c r="F50" s="9" t="n">
        <v>1</v>
      </c>
    </row>
    <row r="52">
      <c r="A52" s="2" t="inlineStr">
        <is>
          <t>4. MULTIPLIER — nhập tay vào cột Multiplier của Estimate Detail (nhân dồn nếu nhiều yếu tố)</t>
        </is>
      </c>
      <c r="B52" s="3" t="n"/>
      <c r="C52" s="3" t="n"/>
      <c r="D52" s="3" t="n"/>
      <c r="E52" s="3" t="n"/>
      <c r="F52" s="3" t="n"/>
      <c r="G52" s="3" t="n"/>
    </row>
    <row r="53">
      <c r="A53" s="4" t="inlineStr">
        <is>
          <t>Yếu tố</t>
        </is>
      </c>
      <c r="B53" s="4" t="inlineStr">
        <is>
          <t>Giá trị</t>
        </is>
      </c>
      <c r="C53" s="4" t="inlineStr">
        <is>
          <t>Ghi chú</t>
        </is>
      </c>
    </row>
    <row r="54">
      <c r="A54" s="5" t="inlineStr">
        <is>
          <t>module_type_new</t>
        </is>
      </c>
      <c r="B54" s="6" t="n">
        <v>1</v>
      </c>
      <c r="C54" s="5" t="inlineStr">
        <is>
          <t>Module làm mới</t>
        </is>
      </c>
    </row>
    <row r="55">
      <c r="A55" s="5" t="inlineStr">
        <is>
          <t>module_type_modify</t>
        </is>
      </c>
      <c r="B55" s="6" t="n">
        <v>0.85</v>
      </c>
      <c r="C55" s="5" t="inlineStr">
        <is>
          <t>Sửa đổi / enhancement trên module đã có</t>
        </is>
      </c>
    </row>
    <row r="56">
      <c r="A56" s="5" t="inlineStr">
        <is>
          <t>requirement_unstable</t>
        </is>
      </c>
      <c r="B56" s="6" t="n">
        <v>1</v>
      </c>
      <c r="C56" s="5" t="inlineStr">
        <is>
          <t>VÔ HIỆU 2026-08-18 — đếm trùng tiêu chí complexity 'Số dòng open_points.md'</t>
        </is>
      </c>
    </row>
    <row r="57">
      <c r="A57" s="5" t="inlineStr">
        <is>
          <t>ui_japanese</t>
        </is>
      </c>
      <c r="B57" s="6" t="n">
        <v>1</v>
      </c>
      <c r="C57" s="5" t="inlineStr">
        <is>
          <t>VÔ HIỆU 2026-08-18 — đếm trùng tiêu chí complexity 'Nhãn / message tiếng Nhật'</t>
        </is>
      </c>
    </row>
    <row r="58">
      <c r="A58" s="5" t="inlineStr">
        <is>
          <t>cross_module</t>
        </is>
      </c>
      <c r="B58" s="6" t="n">
        <v>1</v>
      </c>
      <c r="C58" s="5" t="inlineStr">
        <is>
          <t>VÔ HIỆU 2026-08-18 — đếm trùng tiêu chí complexity 'Phụ thuộc module khác'</t>
        </is>
      </c>
    </row>
    <row r="59">
      <c r="A59" s="5" t="inlineStr">
        <is>
          <t>domain_first_time</t>
        </is>
      </c>
      <c r="B59" s="6" t="n">
        <v>1.25</v>
      </c>
      <c r="C59" s="5" t="inlineStr">
        <is>
          <t>Tester lần đầu làm nghiệp vụ này</t>
        </is>
      </c>
    </row>
    <row r="60">
      <c r="A60" s="5" t="inlineStr">
        <is>
          <t>ai_output_maturity_pilot</t>
        </is>
      </c>
      <c r="B60" s="6" t="n">
        <v>1.3</v>
      </c>
      <c r="C60" s="5" t="inlineStr">
        <is>
          <t>Prompt/skill AI mới dùng, output còn nhiều rework</t>
        </is>
      </c>
    </row>
    <row r="61">
      <c r="A61" s="5" t="inlineStr">
        <is>
          <t>ai_output_maturity_stable</t>
        </is>
      </c>
      <c r="B61" s="6" t="n">
        <v>1</v>
      </c>
      <c r="C61" s="5" t="inlineStr">
        <is>
          <t>Prompt/skill AI đã ổn định (mặc định)</t>
        </is>
      </c>
    </row>
    <row r="62">
      <c r="A62" s="5" t="inlineStr">
        <is>
          <t>ai_output_maturity_mature</t>
        </is>
      </c>
      <c r="B62" s="6" t="n">
        <v>0.9</v>
      </c>
      <c r="C62" s="5" t="inlineStr">
        <is>
          <t>Output AI đã qua nhiều vòng tinh chỉnh, rework thấp</t>
        </is>
      </c>
    </row>
    <row r="64">
      <c r="A64" s="2" t="inlineStr">
        <is>
          <t>5. THAM SỐ PHÁI SINH</t>
        </is>
      </c>
      <c r="B64" s="3" t="n"/>
      <c r="C64" s="3" t="n"/>
      <c r="D64" s="3" t="n"/>
      <c r="E64" s="3" t="n"/>
      <c r="F64" s="3" t="n"/>
      <c r="G64" s="3" t="n"/>
    </row>
    <row r="65">
      <c r="A65" s="4" t="inlineStr">
        <is>
          <t>Tham số</t>
        </is>
      </c>
      <c r="B65" s="4" t="inlineStr">
        <is>
          <t>Giá trị</t>
        </is>
      </c>
      <c r="C65" s="4" t="inlineStr">
        <is>
          <t>Ghi chú</t>
        </is>
      </c>
    </row>
    <row r="66">
      <c r="A66" s="5" t="inlineStr">
        <is>
          <t>bugs_per_module</t>
        </is>
      </c>
      <c r="B66" s="10" t="n">
        <v>1</v>
      </c>
      <c r="C66" s="5" t="inlineStr">
        <is>
          <t>Số bug dự kiến / module — MẶC ĐỊNH dùng cho G4 / A4b / A5 / S3. Neo vào quan sát UI test GTL 2026-08-20: ~1 bug / chức năng. Test sâu hơn (integration, regression) thì nâng số này, KHÔNG quay lại nhân % test case</t>
        </is>
      </c>
    </row>
    <row r="67">
      <c r="A67" s="5" t="inlineStr">
        <is>
          <t>expected_defect_rate</t>
        </is>
      </c>
      <c r="B67" s="8" t="n">
        <v>0.25</v>
      </c>
      <c r="C67" s="5" t="inlineStr">
        <is>
          <t>KHÔNG dùng mặc định. Cách cũ: bug = số test case × tỷ lệ này. Đo thật cho thấy sai nặng: 抽選申込照会 69 TC → dự báo 17 bug, thực tế 1. Chỉ bật lại khi có dữ liệu defect thật của một phase test sâu</t>
        </is>
      </c>
    </row>
    <row r="68">
      <c r="A68" s="5" t="inlineStr">
        <is>
          <t>retest_rounds</t>
        </is>
      </c>
      <c r="B68" s="9" t="n">
        <v>2</v>
      </c>
      <c r="C68" s="5" t="inlineStr">
        <is>
          <t>Số vòng verify bug (A5)</t>
        </is>
      </c>
    </row>
    <row r="69">
      <c r="A69" s="5" t="inlineStr">
        <is>
          <t>bug_followup_rate</t>
        </is>
      </c>
      <c r="B69" s="8" t="n">
        <v>0.3</v>
      </c>
      <c r="C69" s="5" t="inlineStr">
        <is>
          <t>Tỷ lệ bug bị reject / reopen phải follow-up (S3)</t>
        </is>
      </c>
    </row>
    <row r="70">
      <c r="A70" s="5" t="inlineStr">
        <is>
          <t>regression_scope_rate</t>
        </is>
      </c>
      <c r="B70" s="8" t="n">
        <v>0.3</v>
      </c>
      <c r="C70" s="5" t="inlineStr">
        <is>
          <t>Tỷ lệ test case phải chạy lại khi regression (S4)</t>
        </is>
      </c>
    </row>
    <row r="71">
      <c r="A71" s="5" t="inlineStr">
        <is>
          <t>rework_rounds</t>
        </is>
      </c>
      <c r="B71" s="9" t="n">
        <v>1</v>
      </c>
      <c r="C71" s="5" t="inlineStr">
        <is>
          <t>Số vòng rework output AI (R1); AI pilot → 2, mature → 0.5</t>
        </is>
      </c>
    </row>
    <row r="72">
      <c r="A72" s="5" t="inlineStr">
        <is>
          <t>qa_round_per_module</t>
        </is>
      </c>
      <c r="B72" s="9" t="n">
        <v>1</v>
      </c>
      <c r="C72" s="5" t="inlineStr">
        <is>
          <t>Số vòng Q&amp;A + confirm PO mặc định cho 1 module (A2b)</t>
        </is>
      </c>
    </row>
    <row r="73">
      <c r="A73" s="5" t="inlineStr">
        <is>
          <t>buffer_pct</t>
        </is>
      </c>
      <c r="B73" s="8" t="n">
        <v>0.15</v>
      </c>
      <c r="C73" s="5" t="inlineStr">
        <is>
          <t>Buffer risk cộng vào tổng effort — đã bao gồm giờ họp / communication</t>
        </is>
      </c>
    </row>
    <row r="74">
      <c r="A74" s="5" t="inlineStr">
        <is>
          <t>hours_per_manday</t>
        </is>
      </c>
      <c r="B74" s="9" t="n">
        <v>8</v>
      </c>
      <c r="C74" s="5" t="inlineStr">
        <is>
          <t>Giờ làm việc / manday</t>
        </is>
      </c>
    </row>
    <row r="75">
      <c r="A75" s="5" t="inlineStr">
        <is>
          <t>enum_correction</t>
        </is>
      </c>
      <c r="B75" s="6" t="n">
        <v>0.85</v>
      </c>
      <c r="C75" s="5" t="inlineStr">
        <is>
          <t>Nhân vào kết quả LIỆT KÊ số test case từ requirement (estimation-model.md §3.1). Phép liệt kê đo được là luôn thừa: navigator +11%, history_list +25%</t>
        </is>
      </c>
    </row>
    <row r="76">
      <c r="A76" s="5" t="inlineStr">
        <is>
          <t>tc_per_req_item</t>
        </is>
      </c>
      <c r="B76" s="10" t="n">
        <v>2.3</v>
      </c>
      <c r="C76" s="5" t="inlineStr">
        <is>
          <t>CHỈ dùng khi không có cả requirement package (tier 3). Có requirement → LIỆT KÊ theo §3.1, cấm nhân hệ số này. Spread quan sát 1.25-3.36 (2.7 lần) → độ tin cậy THẤP, luôn kèm Open point</t>
        </is>
      </c>
    </row>
    <row r="78">
      <c r="A78" s="2" t="inlineStr">
        <is>
          <t>6. TIÊU CHÍ CHẤM ĐỘ PHỨC TẠP TASK (S / M / L / XL)</t>
        </is>
      </c>
      <c r="B78" s="3" t="n"/>
      <c r="C78" s="3" t="n"/>
      <c r="D78" s="3" t="n"/>
      <c r="E78" s="3" t="n"/>
      <c r="F78" s="3" t="n"/>
      <c r="G78" s="3" t="n"/>
    </row>
    <row r="79">
      <c r="A79" s="4" t="inlineStr">
        <is>
          <t>Tiêu chí</t>
        </is>
      </c>
      <c r="B79" s="4" t="inlineStr">
        <is>
          <t>S</t>
        </is>
      </c>
      <c r="C79" s="4" t="inlineStr">
        <is>
          <t>M</t>
        </is>
      </c>
      <c r="D79" s="4" t="inlineStr">
        <is>
          <t>L</t>
        </is>
      </c>
      <c r="E79" s="4" t="inlineStr">
        <is>
          <t>XL</t>
        </is>
      </c>
    </row>
    <row r="80">
      <c r="A80" s="11" t="inlineStr">
        <is>
          <t>Số field / control trên màn hình</t>
        </is>
      </c>
      <c r="B80" s="5" t="inlineStr">
        <is>
          <t>&lt;= 5</t>
        </is>
      </c>
      <c r="C80" s="5" t="inlineStr">
        <is>
          <t>6 - 15</t>
        </is>
      </c>
      <c r="D80" s="5" t="inlineStr">
        <is>
          <t>16 - 30</t>
        </is>
      </c>
      <c r="E80" s="5" t="inlineStr">
        <is>
          <t>&gt; 30</t>
        </is>
      </c>
    </row>
    <row r="81">
      <c r="A81" s="11" t="inlineStr">
        <is>
          <t>Số validation rule</t>
        </is>
      </c>
      <c r="B81" s="5" t="inlineStr">
        <is>
          <t>&lt;= 3</t>
        </is>
      </c>
      <c r="C81" s="5" t="inlineStr">
        <is>
          <t>4 - 10</t>
        </is>
      </c>
      <c r="D81" s="5" t="inlineStr">
        <is>
          <t>11 - 20</t>
        </is>
      </c>
      <c r="E81" s="5" t="inlineStr">
        <is>
          <t>&gt; 20</t>
        </is>
      </c>
    </row>
    <row r="82">
      <c r="A82" s="11" t="inlineStr">
        <is>
          <t>Số alternate + exception flow</t>
        </is>
      </c>
      <c r="B82" s="5" t="inlineStr">
        <is>
          <t>0 - 1</t>
        </is>
      </c>
      <c r="C82" s="5" t="inlineStr">
        <is>
          <t>2 - 3</t>
        </is>
      </c>
      <c r="D82" s="5" t="inlineStr">
        <is>
          <t>4 - 6</t>
        </is>
      </c>
      <c r="E82" s="5" t="inlineStr">
        <is>
          <t>&gt; 6</t>
        </is>
      </c>
    </row>
    <row r="83">
      <c r="A83" s="11" t="inlineStr">
        <is>
          <t>Persist dữ liệu xuống DB</t>
        </is>
      </c>
      <c r="B83" s="5" t="inlineStr">
        <is>
          <t>Không</t>
        </is>
      </c>
      <c r="C83" s="5" t="inlineStr">
        <is>
          <t>1 bảng</t>
        </is>
      </c>
      <c r="D83" s="5" t="inlineStr">
        <is>
          <t>2 - 3 bảng</t>
        </is>
      </c>
      <c r="E83" s="5" t="inlineStr">
        <is>
          <t>&gt; 3 bảng / có batch</t>
        </is>
      </c>
    </row>
    <row r="84">
      <c r="A84" s="11" t="inlineStr">
        <is>
          <t>Phụ thuộc module khác</t>
        </is>
      </c>
      <c r="B84" s="5" t="inlineStr">
        <is>
          <t>Không</t>
        </is>
      </c>
      <c r="C84" s="5" t="inlineStr">
        <is>
          <t>1 module</t>
        </is>
      </c>
      <c r="D84" s="5" t="inlineStr">
        <is>
          <t>2 module</t>
        </is>
      </c>
      <c r="E84" s="5" t="inlineStr">
        <is>
          <t>&gt;= 3 module</t>
        </is>
      </c>
    </row>
    <row r="85">
      <c r="A85" s="11" t="inlineStr">
        <is>
          <t>Nhãn / message tiếng Nhật cần đối chiếu</t>
        </is>
      </c>
      <c r="B85" s="5" t="inlineStr">
        <is>
          <t>Không</t>
        </is>
      </c>
      <c r="C85" s="5" t="inlineStr">
        <is>
          <t>Ít</t>
        </is>
      </c>
      <c r="D85" s="5" t="inlineStr">
        <is>
          <t>Nhiều</t>
        </is>
      </c>
      <c r="E85" s="5" t="inlineStr">
        <is>
          <t>Toàn bộ màn hình</t>
        </is>
      </c>
    </row>
    <row r="86">
      <c r="A86" s="11" t="inlineStr">
        <is>
          <t>Số dòng open_points.md</t>
        </is>
      </c>
      <c r="B86" s="5" t="inlineStr">
        <is>
          <t>0</t>
        </is>
      </c>
      <c r="C86" s="5" t="inlineStr">
        <is>
          <t>1 - 4</t>
        </is>
      </c>
      <c r="D86" s="5" t="inlineStr">
        <is>
          <t>5 - 9</t>
        </is>
      </c>
      <c r="E86" s="5" t="inlineStr">
        <is>
          <t>&gt;= 10</t>
        </is>
      </c>
    </row>
    <row r="87">
      <c r="A87" s="11" t="inlineStr">
        <is>
          <t>Cách chấm</t>
        </is>
      </c>
      <c r="B87" s="5" t="inlineStr">
        <is>
          <t>Đa số tiêu chí rơi vào cột nào thì lấy cột đó; hoà nhau → lấy cột cao hơn</t>
        </is>
      </c>
      <c r="C87" s="5" t="inlineStr"/>
      <c r="D87" s="5" t="inlineStr"/>
      <c r="E8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40" customWidth="1" min="3" max="3"/>
    <col width="12" customWidth="1" min="4" max="4"/>
    <col width="10" customWidth="1" min="5" max="5"/>
    <col width="18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40" customWidth="1" min="13" max="13"/>
  </cols>
  <sheetData>
    <row r="1" ht="24" customHeight="1">
      <c r="A1" s="1" t="inlineStr">
        <is>
          <t>ESTIMATE DETAIL — 1 dòng = 1 activity của 1 function (ô vàng nhập tay, ô xám tự tính)</t>
        </is>
      </c>
    </row>
    <row r="3">
      <c r="A3" s="4" t="inlineStr">
        <is>
          <t>Function</t>
        </is>
      </c>
      <c r="B3" s="4" t="inlineStr">
        <is>
          <t>Activity</t>
        </is>
      </c>
      <c r="C3" s="4" t="inlineStr">
        <is>
          <t>Activity name</t>
        </is>
      </c>
      <c r="D3" s="4" t="inlineStr">
        <is>
          <t>Complexity</t>
        </is>
      </c>
      <c r="E3" s="4" t="inlineStr">
        <is>
          <t>Volume</t>
        </is>
      </c>
      <c r="F3" s="4" t="inlineStr">
        <is>
          <t>Đơn vị</t>
        </is>
      </c>
      <c r="G3" s="4" t="inlineStr">
        <is>
          <t>Base rate (h)</t>
        </is>
      </c>
      <c r="H3" s="4" t="inlineStr">
        <is>
          <t>Level</t>
        </is>
      </c>
      <c r="I3" s="4" t="inlineStr">
        <is>
          <t>Level factor</t>
        </is>
      </c>
      <c r="J3" s="4" t="inlineStr">
        <is>
          <t>Multiplier</t>
        </is>
      </c>
      <c r="K3" s="4" t="inlineStr">
        <is>
          <t>Level check</t>
        </is>
      </c>
      <c r="L3" s="4" t="inlineStr">
        <is>
          <t>Adjusted (h)</t>
        </is>
      </c>
      <c r="M3" s="4" t="inlineStr">
        <is>
          <t>Note</t>
        </is>
      </c>
    </row>
    <row r="4">
      <c r="A4" s="12" t="inlineStr">
        <is>
          <t>sample_module</t>
        </is>
      </c>
      <c r="B4" s="12" t="inlineStr">
        <is>
          <t>G1</t>
        </is>
      </c>
      <c r="C4" s="11">
        <f>IFERROR(VLOOKUP($B4,'Rate Card'!$A$5:$C$22,2,FALSE),"")</f>
        <v/>
      </c>
      <c r="D4" s="12" t="inlineStr">
        <is>
          <t>M</t>
        </is>
      </c>
      <c r="E4" s="6" t="n">
        <v>1</v>
      </c>
      <c r="F4" s="11">
        <f>IFERROR(VLOOKUP($B4,'Rate Card'!$A$5:$C$22,3,FALSE),"")</f>
        <v/>
      </c>
      <c r="G4" s="13">
        <f>IFERROR(VLOOKUP($B4,'Rate Card'!$A$5:$G$22,MATCH($D4,'Rate Card'!$D$4:$G$4,0)+3,FALSE),"")</f>
        <v/>
      </c>
      <c r="H4" s="12" t="inlineStr">
        <is>
          <t>Junior</t>
        </is>
      </c>
      <c r="I4" s="13">
        <f>IFERROR(IF(VLOOKUP($B4,'Rate Card'!$A$33:$F$50,6,FALSE)=0,1,VLOOKUP($H4,'Rate Card'!$A$26:$D$29,2,FALSE)),"")</f>
        <v/>
      </c>
      <c r="J4" s="6" t="n">
        <v>1</v>
      </c>
      <c r="K4" s="13">
        <f>IFERROR(IF(VLOOKUP($H4,'Rate Card'!$A$26:$D$29,3,FALSE)&lt;VLOOKUP($B4,'Rate Card'!$A$33:$F$50,4,FALSE),1+VLOOKUP($B4,'Rate Card'!$A$33:$F$50,5,FALSE),1),"")</f>
        <v/>
      </c>
      <c r="L4" s="13">
        <f>IFERROR($E4*$G4*$I4*$J4*$K4,"")</f>
        <v/>
      </c>
      <c r="M4" s="12" t="inlineStr">
        <is>
          <t>1 ticket task test cần AI gen</t>
        </is>
      </c>
    </row>
    <row r="5">
      <c r="A5" s="12" t="inlineStr">
        <is>
          <t>sample_module</t>
        </is>
      </c>
      <c r="B5" s="12" t="inlineStr">
        <is>
          <t>A1</t>
        </is>
      </c>
      <c r="C5" s="11">
        <f>IFERROR(VLOOKUP($B5,'Rate Card'!$A$5:$C$22,2,FALSE),"")</f>
        <v/>
      </c>
      <c r="D5" s="12" t="inlineStr">
        <is>
          <t>M</t>
        </is>
      </c>
      <c r="E5" s="6" t="n">
        <v>1</v>
      </c>
      <c r="F5" s="11">
        <f>IFERROR(VLOOKUP($B5,'Rate Card'!$A$5:$C$22,3,FALSE),"")</f>
        <v/>
      </c>
      <c r="G5" s="13">
        <f>IFERROR(VLOOKUP($B5,'Rate Card'!$A$5:$G$22,MATCH($D5,'Rate Card'!$D$4:$G$4,0)+3,FALSE),"")</f>
        <v/>
      </c>
      <c r="H5" s="12" t="inlineStr">
        <is>
          <t>Junior</t>
        </is>
      </c>
      <c r="I5" s="13">
        <f>IFERROR(IF(VLOOKUP($B5,'Rate Card'!$A$33:$F$50,6,FALSE)=0,1,VLOOKUP($H5,'Rate Card'!$A$26:$D$29,2,FALSE)),"")</f>
        <v/>
      </c>
      <c r="J5" s="6" t="n">
        <v>1</v>
      </c>
      <c r="K5" s="13">
        <f>IFERROR(IF(VLOOKUP($H5,'Rate Card'!$A$26:$D$29,3,FALSE)&lt;VLOOKUP($B5,'Rate Card'!$A$33:$F$50,4,FALSE),1+VLOOKUP($B5,'Rate Card'!$A$33:$F$50,5,FALSE),1),"")</f>
        <v/>
      </c>
      <c r="L5" s="13">
        <f>IFERROR($E5*$G5*$I5*$J5*$K5,"")</f>
        <v/>
      </c>
      <c r="M5" s="12" t="inlineStr">
        <is>
          <t>Review ticket AI gen</t>
        </is>
      </c>
    </row>
    <row r="6">
      <c r="A6" s="12" t="inlineStr">
        <is>
          <t>sample_module</t>
        </is>
      </c>
      <c r="B6" s="12" t="inlineStr">
        <is>
          <t>G2</t>
        </is>
      </c>
      <c r="C6" s="11">
        <f>IFERROR(VLOOKUP($B6,'Rate Card'!$A$5:$C$22,2,FALSE),"")</f>
        <v/>
      </c>
      <c r="D6" s="12" t="inlineStr">
        <is>
          <t>M</t>
        </is>
      </c>
      <c r="E6" s="6" t="n">
        <v>1</v>
      </c>
      <c r="F6" s="11">
        <f>IFERROR(VLOOKUP($B6,'Rate Card'!$A$5:$C$22,3,FALSE),"")</f>
        <v/>
      </c>
      <c r="G6" s="13">
        <f>IFERROR(VLOOKUP($B6,'Rate Card'!$A$5:$G$22,MATCH($D6,'Rate Card'!$D$4:$G$4,0)+3,FALSE),"")</f>
        <v/>
      </c>
      <c r="H6" s="12" t="inlineStr">
        <is>
          <t>Middle</t>
        </is>
      </c>
      <c r="I6" s="13">
        <f>IFERROR(IF(VLOOKUP($B6,'Rate Card'!$A$33:$F$50,6,FALSE)=0,1,VLOOKUP($H6,'Rate Card'!$A$26:$D$29,2,FALSE)),"")</f>
        <v/>
      </c>
      <c r="J6" s="6" t="n">
        <v>1</v>
      </c>
      <c r="K6" s="13">
        <f>IFERROR(IF(VLOOKUP($H6,'Rate Card'!$A$26:$D$29,3,FALSE)&lt;VLOOKUP($B6,'Rate Card'!$A$33:$F$50,4,FALSE),1+VLOOKUP($B6,'Rate Card'!$A$33:$F$50,5,FALSE),1),"")</f>
        <v/>
      </c>
      <c r="L6" s="13">
        <f>IFERROR($E6*$G6*$I6*$J6*$K6,"")</f>
        <v/>
      </c>
      <c r="M6" s="12" t="inlineStr">
        <is>
          <t>1 lần chạy /gen-requirement (gồm dựng manifest)</t>
        </is>
      </c>
    </row>
    <row r="7">
      <c r="A7" s="12" t="inlineStr">
        <is>
          <t>sample_module</t>
        </is>
      </c>
      <c r="B7" s="12" t="inlineStr">
        <is>
          <t>A2</t>
        </is>
      </c>
      <c r="C7" s="11">
        <f>IFERROR(VLOOKUP($B7,'Rate Card'!$A$5:$C$22,2,FALSE),"")</f>
        <v/>
      </c>
      <c r="D7" s="12" t="inlineStr">
        <is>
          <t>M</t>
        </is>
      </c>
      <c r="E7" s="6" t="n">
        <v>12</v>
      </c>
      <c r="F7" s="11">
        <f>IFERROR(VLOOKUP($B7,'Rate Card'!$A$5:$C$22,3,FALSE),"")</f>
        <v/>
      </c>
      <c r="G7" s="13">
        <f>IFERROR(VLOOKUP($B7,'Rate Card'!$A$5:$G$22,MATCH($D7,'Rate Card'!$D$4:$G$4,0)+3,FALSE),"")</f>
        <v/>
      </c>
      <c r="H7" s="12" t="inlineStr">
        <is>
          <t>Middle</t>
        </is>
      </c>
      <c r="I7" s="13">
        <f>IFERROR(IF(VLOOKUP($B7,'Rate Card'!$A$33:$F$50,6,FALSE)=0,1,VLOOKUP($H7,'Rate Card'!$A$26:$D$29,2,FALSE)),"")</f>
        <v/>
      </c>
      <c r="J7" s="6" t="n">
        <v>1</v>
      </c>
      <c r="K7" s="13">
        <f>IFERROR(IF(VLOOKUP($H7,'Rate Card'!$A$26:$D$29,3,FALSE)&lt;VLOOKUP($B7,'Rate Card'!$A$33:$F$50,4,FALSE),1+VLOOKUP($B7,'Rate Card'!$A$33:$F$50,5,FALSE),1),"")</f>
        <v/>
      </c>
      <c r="L7" s="13">
        <f>IFERROR($E7*$G7*$I7*$J7*$K7,"")</f>
        <v/>
      </c>
      <c r="M7" s="12" t="inlineStr">
        <is>
          <t>12 requirement item = FR + BR + VR</t>
        </is>
      </c>
    </row>
    <row r="8">
      <c r="A8" s="12" t="inlineStr">
        <is>
          <t>sample_module</t>
        </is>
      </c>
      <c r="B8" s="12" t="inlineStr">
        <is>
          <t>A2b</t>
        </is>
      </c>
      <c r="C8" s="11">
        <f>IFERROR(VLOOKUP($B8,'Rate Card'!$A$5:$C$22,2,FALSE),"")</f>
        <v/>
      </c>
      <c r="D8" s="12" t="inlineStr">
        <is>
          <t>M</t>
        </is>
      </c>
      <c r="E8" s="6">
        <f>qa_round_per_module</f>
        <v/>
      </c>
      <c r="F8" s="11">
        <f>IFERROR(VLOOKUP($B8,'Rate Card'!$A$5:$C$22,3,FALSE),"")</f>
        <v/>
      </c>
      <c r="G8" s="13">
        <f>IFERROR(VLOOKUP($B8,'Rate Card'!$A$5:$G$22,MATCH($D8,'Rate Card'!$D$4:$G$4,0)+3,FALSE),"")</f>
        <v/>
      </c>
      <c r="H8" s="12" t="inlineStr">
        <is>
          <t>Middle</t>
        </is>
      </c>
      <c r="I8" s="13">
        <f>IFERROR(IF(VLOOKUP($B8,'Rate Card'!$A$33:$F$50,6,FALSE)=0,1,VLOOKUP($H8,'Rate Card'!$A$26:$D$29,2,FALSE)),"")</f>
        <v/>
      </c>
      <c r="J8" s="6" t="n">
        <v>1</v>
      </c>
      <c r="K8" s="13">
        <f>IFERROR(IF(VLOOKUP($H8,'Rate Card'!$A$26:$D$29,3,FALSE)&lt;VLOOKUP($B8,'Rate Card'!$A$33:$F$50,4,FALSE),1+VLOOKUP($B8,'Rate Card'!$A$33:$F$50,5,FALSE),1),"")</f>
        <v/>
      </c>
      <c r="L8" s="13">
        <f>IFERROR($E8*$G8*$I8*$J8*$K8,"")</f>
        <v/>
      </c>
      <c r="M8" s="12" t="inlineStr">
        <is>
          <t>Q&amp;A + confirm PO</t>
        </is>
      </c>
    </row>
    <row r="9">
      <c r="A9" s="12" t="inlineStr">
        <is>
          <t>sample_module</t>
        </is>
      </c>
      <c r="B9" s="12" t="inlineStr">
        <is>
          <t>G3</t>
        </is>
      </c>
      <c r="C9" s="11">
        <f>IFERROR(VLOOKUP($B9,'Rate Card'!$A$5:$C$22,2,FALSE),"")</f>
        <v/>
      </c>
      <c r="D9" s="12" t="inlineStr">
        <is>
          <t>M</t>
        </is>
      </c>
      <c r="E9" s="6" t="n">
        <v>1</v>
      </c>
      <c r="F9" s="11">
        <f>IFERROR(VLOOKUP($B9,'Rate Card'!$A$5:$C$22,3,FALSE),"")</f>
        <v/>
      </c>
      <c r="G9" s="13">
        <f>IFERROR(VLOOKUP($B9,'Rate Card'!$A$5:$G$22,MATCH($D9,'Rate Card'!$D$4:$G$4,0)+3,FALSE),"")</f>
        <v/>
      </c>
      <c r="H9" s="12" t="inlineStr">
        <is>
          <t>Junior</t>
        </is>
      </c>
      <c r="I9" s="13">
        <f>IFERROR(IF(VLOOKUP($B9,'Rate Card'!$A$33:$F$50,6,FALSE)=0,1,VLOOKUP($H9,'Rate Card'!$A$26:$D$29,2,FALSE)),"")</f>
        <v/>
      </c>
      <c r="J9" s="6" t="n">
        <v>1</v>
      </c>
      <c r="K9" s="13">
        <f>IFERROR(IF(VLOOKUP($H9,'Rate Card'!$A$26:$D$29,3,FALSE)&lt;VLOOKUP($B9,'Rate Card'!$A$33:$F$50,4,FALSE),1+VLOOKUP($B9,'Rate Card'!$A$33:$F$50,5,FALSE),1),"")</f>
        <v/>
      </c>
      <c r="L9" s="13">
        <f>IFERROR($E9*$G9*$I9*$J9*$K9,"")</f>
        <v/>
      </c>
      <c r="M9" s="12" t="inlineStr">
        <is>
          <t>1 lần chạy /gen-testcase</t>
        </is>
      </c>
    </row>
    <row r="10">
      <c r="A10" s="12" t="inlineStr">
        <is>
          <t>sample_module</t>
        </is>
      </c>
      <c r="B10" s="12" t="inlineStr">
        <is>
          <t>A3</t>
        </is>
      </c>
      <c r="C10" s="11">
        <f>IFERROR(VLOOKUP($B10,'Rate Card'!$A$5:$C$22,2,FALSE),"")</f>
        <v/>
      </c>
      <c r="D10" s="12" t="inlineStr">
        <is>
          <t>M</t>
        </is>
      </c>
      <c r="E10" s="6" t="n">
        <v>20</v>
      </c>
      <c r="F10" s="11">
        <f>IFERROR(VLOOKUP($B10,'Rate Card'!$A$5:$C$22,3,FALSE),"")</f>
        <v/>
      </c>
      <c r="G10" s="13">
        <f>IFERROR(VLOOKUP($B10,'Rate Card'!$A$5:$G$22,MATCH($D10,'Rate Card'!$D$4:$G$4,0)+3,FALSE),"")</f>
        <v/>
      </c>
      <c r="H10" s="12" t="inlineStr">
        <is>
          <t>Junior</t>
        </is>
      </c>
      <c r="I10" s="13">
        <f>IFERROR(IF(VLOOKUP($B10,'Rate Card'!$A$33:$F$50,6,FALSE)=0,1,VLOOKUP($H10,'Rate Card'!$A$26:$D$29,2,FALSE)),"")</f>
        <v/>
      </c>
      <c r="J10" s="6" t="n">
        <v>1</v>
      </c>
      <c r="K10" s="13">
        <f>IFERROR(IF(VLOOKUP($H10,'Rate Card'!$A$26:$D$29,3,FALSE)&lt;VLOOKUP($B10,'Rate Card'!$A$33:$F$50,4,FALSE),1+VLOOKUP($B10,'Rate Card'!$A$33:$F$50,5,FALSE),1),"")</f>
        <v/>
      </c>
      <c r="L10" s="13">
        <f>IFERROR($E10*$G10*$I10*$J10*$K10,"")</f>
        <v/>
      </c>
      <c r="M10" s="12" t="inlineStr">
        <is>
          <t>20 test case AI gen</t>
        </is>
      </c>
    </row>
    <row r="11">
      <c r="A11" s="12" t="inlineStr">
        <is>
          <t>project_level</t>
        </is>
      </c>
      <c r="B11" s="12" t="inlineStr">
        <is>
          <t>S1</t>
        </is>
      </c>
      <c r="C11" s="11">
        <f>IFERROR(VLOOKUP($B11,'Rate Card'!$A$5:$C$22,2,FALSE),"")</f>
        <v/>
      </c>
      <c r="D11" s="12" t="inlineStr">
        <is>
          <t>M</t>
        </is>
      </c>
      <c r="E11" s="6" t="n">
        <v>1</v>
      </c>
      <c r="F11" s="11">
        <f>IFERROR(VLOOKUP($B11,'Rate Card'!$A$5:$C$22,3,FALSE),"")</f>
        <v/>
      </c>
      <c r="G11" s="13">
        <f>IFERROR(VLOOKUP($B11,'Rate Card'!$A$5:$G$22,MATCH($D11,'Rate Card'!$D$4:$G$4,0)+3,FALSE),"")</f>
        <v/>
      </c>
      <c r="H11" s="12" t="inlineStr">
        <is>
          <t>Junior</t>
        </is>
      </c>
      <c r="I11" s="13">
        <f>IFERROR(IF(VLOOKUP($B11,'Rate Card'!$A$33:$F$50,6,FALSE)=0,1,VLOOKUP($H11,'Rate Card'!$A$26:$D$29,2,FALSE)),"")</f>
        <v/>
      </c>
      <c r="J11" s="6" t="n">
        <v>1</v>
      </c>
      <c r="K11" s="13">
        <f>IFERROR(IF(VLOOKUP($H11,'Rate Card'!$A$26:$D$29,3,FALSE)&lt;VLOOKUP($B11,'Rate Card'!$A$33:$F$50,4,FALSE),1+VLOOKUP($B11,'Rate Card'!$A$33:$F$50,5,FALSE),1),"")</f>
        <v/>
      </c>
      <c r="L11" s="13">
        <f>IFERROR($E11*$G11*$I11*$J11*$K11,"")</f>
        <v/>
      </c>
      <c r="M11" s="12" t="inlineStr">
        <is>
          <t>Project-level: chỉ tính 1 lần, module sau để Volume = 0</t>
        </is>
      </c>
    </row>
    <row r="12">
      <c r="A12" s="12" t="inlineStr">
        <is>
          <t>project_level</t>
        </is>
      </c>
      <c r="B12" s="12" t="inlineStr">
        <is>
          <t>S2</t>
        </is>
      </c>
      <c r="C12" s="11">
        <f>IFERROR(VLOOKUP($B12,'Rate Card'!$A$5:$C$22,2,FALSE),"")</f>
        <v/>
      </c>
      <c r="D12" s="12" t="inlineStr">
        <is>
          <t>M</t>
        </is>
      </c>
      <c r="E12" s="6" t="n">
        <v>1</v>
      </c>
      <c r="F12" s="11">
        <f>IFERROR(VLOOKUP($B12,'Rate Card'!$A$5:$C$22,3,FALSE),"")</f>
        <v/>
      </c>
      <c r="G12" s="13">
        <f>IFERROR(VLOOKUP($B12,'Rate Card'!$A$5:$G$22,MATCH($D12,'Rate Card'!$D$4:$G$4,0)+3,FALSE),"")</f>
        <v/>
      </c>
      <c r="H12" s="12" t="inlineStr">
        <is>
          <t>Junior</t>
        </is>
      </c>
      <c r="I12" s="13">
        <f>IFERROR(IF(VLOOKUP($B12,'Rate Card'!$A$33:$F$50,6,FALSE)=0,1,VLOOKUP($H12,'Rate Card'!$A$26:$D$29,2,FALSE)),"")</f>
        <v/>
      </c>
      <c r="J12" s="6" t="n">
        <v>1</v>
      </c>
      <c r="K12" s="13">
        <f>IFERROR(IF(VLOOKUP($H12,'Rate Card'!$A$26:$D$29,3,FALSE)&lt;VLOOKUP($B12,'Rate Card'!$A$33:$F$50,4,FALSE),1+VLOOKUP($B12,'Rate Card'!$A$33:$F$50,5,FALSE),1),"")</f>
        <v/>
      </c>
      <c r="L12" s="13">
        <f>IFERROR($E12*$G12*$I12*$J12*$K12,"")</f>
        <v/>
      </c>
      <c r="M12" s="12" t="inlineStr">
        <is>
          <t>Project-level nếu dùng chung bộ data</t>
        </is>
      </c>
    </row>
    <row r="13">
      <c r="A13" s="12" t="inlineStr">
        <is>
          <t>sample_module</t>
        </is>
      </c>
      <c r="B13" s="12" t="inlineStr">
        <is>
          <t>A4</t>
        </is>
      </c>
      <c r="C13" s="11">
        <f>IFERROR(VLOOKUP($B13,'Rate Card'!$A$5:$C$22,2,FALSE),"")</f>
        <v/>
      </c>
      <c r="D13" s="12" t="inlineStr">
        <is>
          <t>M</t>
        </is>
      </c>
      <c r="E13" s="6">
        <f>E10</f>
        <v/>
      </c>
      <c r="F13" s="11">
        <f>IFERROR(VLOOKUP($B13,'Rate Card'!$A$5:$C$22,3,FALSE),"")</f>
        <v/>
      </c>
      <c r="G13" s="13">
        <f>IFERROR(VLOOKUP($B13,'Rate Card'!$A$5:$G$22,MATCH($D13,'Rate Card'!$D$4:$G$4,0)+3,FALSE),"")</f>
        <v/>
      </c>
      <c r="H13" s="12" t="inlineStr">
        <is>
          <t>Junior</t>
        </is>
      </c>
      <c r="I13" s="13">
        <f>IFERROR(IF(VLOOKUP($B13,'Rate Card'!$A$33:$F$50,6,FALSE)=0,1,VLOOKUP($H13,'Rate Card'!$A$26:$D$29,2,FALSE)),"")</f>
        <v/>
      </c>
      <c r="J13" s="6" t="n">
        <v>1</v>
      </c>
      <c r="K13" s="13">
        <f>IFERROR(IF(VLOOKUP($H13,'Rate Card'!$A$26:$D$29,3,FALSE)&lt;VLOOKUP($B13,'Rate Card'!$A$33:$F$50,4,FALSE),1+VLOOKUP($B13,'Rate Card'!$A$33:$F$50,5,FALSE),1),"")</f>
        <v/>
      </c>
      <c r="L13" s="13">
        <f>IFERROR($E13*$G13*$I13*$J13*$K13,"")</f>
        <v/>
      </c>
      <c r="M13" s="12" t="inlineStr">
        <is>
          <t>Execute = số TC ở dòng A3</t>
        </is>
      </c>
    </row>
    <row r="14">
      <c r="A14" s="12" t="inlineStr">
        <is>
          <t>sample_module</t>
        </is>
      </c>
      <c r="B14" s="12" t="inlineStr">
        <is>
          <t>G4</t>
        </is>
      </c>
      <c r="C14" s="11">
        <f>IFERROR(VLOOKUP($B14,'Rate Card'!$A$5:$C$22,2,FALSE),"")</f>
        <v/>
      </c>
      <c r="D14" s="12" t="inlineStr">
        <is>
          <t>M</t>
        </is>
      </c>
      <c r="E14" s="6">
        <f>bugs_per_module</f>
        <v/>
      </c>
      <c r="F14" s="11">
        <f>IFERROR(VLOOKUP($B14,'Rate Card'!$A$5:$C$22,3,FALSE),"")</f>
        <v/>
      </c>
      <c r="G14" s="13">
        <f>IFERROR(VLOOKUP($B14,'Rate Card'!$A$5:$G$22,MATCH($D14,'Rate Card'!$D$4:$G$4,0)+3,FALSE),"")</f>
        <v/>
      </c>
      <c r="H14" s="12" t="inlineStr">
        <is>
          <t>Junior</t>
        </is>
      </c>
      <c r="I14" s="13">
        <f>IFERROR(IF(VLOOKUP($B14,'Rate Card'!$A$33:$F$50,6,FALSE)=0,1,VLOOKUP($H14,'Rate Card'!$A$26:$D$29,2,FALSE)),"")</f>
        <v/>
      </c>
      <c r="J14" s="6" t="n">
        <v>1</v>
      </c>
      <c r="K14" s="13">
        <f>IFERROR(IF(VLOOKUP($H14,'Rate Card'!$A$26:$D$29,3,FALSE)&lt;VLOOKUP($B14,'Rate Card'!$A$33:$F$50,4,FALSE),1+VLOOKUP($B14,'Rate Card'!$A$33:$F$50,5,FALSE),1),"")</f>
        <v/>
      </c>
      <c r="L14" s="13">
        <f>IFERROR($E14*$G14*$I14*$J14*$K14,"")</f>
        <v/>
      </c>
      <c r="M14" s="12" t="inlineStr">
        <is>
          <t>Bug dự kiến / module (UI test)</t>
        </is>
      </c>
    </row>
    <row r="15">
      <c r="A15" s="12" t="inlineStr">
        <is>
          <t>sample_module</t>
        </is>
      </c>
      <c r="B15" s="12" t="inlineStr">
        <is>
          <t>A4b</t>
        </is>
      </c>
      <c r="C15" s="11">
        <f>IFERROR(VLOOKUP($B15,'Rate Card'!$A$5:$C$22,2,FALSE),"")</f>
        <v/>
      </c>
      <c r="D15" s="12" t="inlineStr">
        <is>
          <t>M</t>
        </is>
      </c>
      <c r="E15" s="6">
        <f>E14</f>
        <v/>
      </c>
      <c r="F15" s="11">
        <f>IFERROR(VLOOKUP($B15,'Rate Card'!$A$5:$C$22,3,FALSE),"")</f>
        <v/>
      </c>
      <c r="G15" s="13">
        <f>IFERROR(VLOOKUP($B15,'Rate Card'!$A$5:$G$22,MATCH($D15,'Rate Card'!$D$4:$G$4,0)+3,FALSE),"")</f>
        <v/>
      </c>
      <c r="H15" s="12" t="inlineStr">
        <is>
          <t>Junior</t>
        </is>
      </c>
      <c r="I15" s="13">
        <f>IFERROR(IF(VLOOKUP($B15,'Rate Card'!$A$33:$F$50,6,FALSE)=0,1,VLOOKUP($H15,'Rate Card'!$A$26:$D$29,2,FALSE)),"")</f>
        <v/>
      </c>
      <c r="J15" s="6" t="n">
        <v>1</v>
      </c>
      <c r="K15" s="13">
        <f>IFERROR(IF(VLOOKUP($H15,'Rate Card'!$A$26:$D$29,3,FALSE)&lt;VLOOKUP($B15,'Rate Card'!$A$33:$F$50,4,FALSE),1+VLOOKUP($B15,'Rate Card'!$A$33:$F$50,5,FALSE),1),"")</f>
        <v/>
      </c>
      <c r="L15" s="13">
        <f>IFERROR($E15*$G15*$I15*$J15*$K15,"")</f>
        <v/>
      </c>
      <c r="M15" s="12" t="inlineStr">
        <is>
          <t>Review đúng số bug AI đã log</t>
        </is>
      </c>
    </row>
    <row r="16">
      <c r="A16" s="12" t="inlineStr">
        <is>
          <t>sample_module</t>
        </is>
      </c>
      <c r="B16" s="12" t="inlineStr">
        <is>
          <t>A5</t>
        </is>
      </c>
      <c r="C16" s="11">
        <f>IFERROR(VLOOKUP($B16,'Rate Card'!$A$5:$C$22,2,FALSE),"")</f>
        <v/>
      </c>
      <c r="D16" s="12" t="inlineStr">
        <is>
          <t>M</t>
        </is>
      </c>
      <c r="E16" s="6">
        <f>E15*retest_rounds</f>
        <v/>
      </c>
      <c r="F16" s="11">
        <f>IFERROR(VLOOKUP($B16,'Rate Card'!$A$5:$C$22,3,FALSE),"")</f>
        <v/>
      </c>
      <c r="G16" s="13">
        <f>IFERROR(VLOOKUP($B16,'Rate Card'!$A$5:$G$22,MATCH($D16,'Rate Card'!$D$4:$G$4,0)+3,FALSE),"")</f>
        <v/>
      </c>
      <c r="H16" s="12" t="inlineStr">
        <is>
          <t>Junior</t>
        </is>
      </c>
      <c r="I16" s="13">
        <f>IFERROR(IF(VLOOKUP($B16,'Rate Card'!$A$33:$F$50,6,FALSE)=0,1,VLOOKUP($H16,'Rate Card'!$A$26:$D$29,2,FALSE)),"")</f>
        <v/>
      </c>
      <c r="J16" s="6" t="n">
        <v>1</v>
      </c>
      <c r="K16" s="13">
        <f>IFERROR(IF(VLOOKUP($H16,'Rate Card'!$A$26:$D$29,3,FALSE)&lt;VLOOKUP($B16,'Rate Card'!$A$33:$F$50,4,FALSE),1+VLOOKUP($B16,'Rate Card'!$A$33:$F$50,5,FALSE),1),"")</f>
        <v/>
      </c>
      <c r="L16" s="13">
        <f>IFERROR($E16*$G16*$I16*$J16*$K16,"")</f>
        <v/>
      </c>
      <c r="M16" s="12" t="inlineStr">
        <is>
          <t>Verify bug × số vòng retest</t>
        </is>
      </c>
    </row>
    <row r="17">
      <c r="A17" s="12" t="inlineStr">
        <is>
          <t>sample_module</t>
        </is>
      </c>
      <c r="B17" s="12" t="inlineStr">
        <is>
          <t>S3</t>
        </is>
      </c>
      <c r="C17" s="11">
        <f>IFERROR(VLOOKUP($B17,'Rate Card'!$A$5:$C$22,2,FALSE),"")</f>
        <v/>
      </c>
      <c r="D17" s="12" t="inlineStr">
        <is>
          <t>M</t>
        </is>
      </c>
      <c r="E17" s="6">
        <f>E15*bug_followup_rate</f>
        <v/>
      </c>
      <c r="F17" s="11">
        <f>IFERROR(VLOOKUP($B17,'Rate Card'!$A$5:$C$22,3,FALSE),"")</f>
        <v/>
      </c>
      <c r="G17" s="13">
        <f>IFERROR(VLOOKUP($B17,'Rate Card'!$A$5:$G$22,MATCH($D17,'Rate Card'!$D$4:$G$4,0)+3,FALSE),"")</f>
        <v/>
      </c>
      <c r="H17" s="12" t="inlineStr">
        <is>
          <t>Junior</t>
        </is>
      </c>
      <c r="I17" s="13">
        <f>IFERROR(IF(VLOOKUP($B17,'Rate Card'!$A$33:$F$50,6,FALSE)=0,1,VLOOKUP($H17,'Rate Card'!$A$26:$D$29,2,FALSE)),"")</f>
        <v/>
      </c>
      <c r="J17" s="6" t="n">
        <v>1</v>
      </c>
      <c r="K17" s="13">
        <f>IFERROR(IF(VLOOKUP($H17,'Rate Card'!$A$26:$D$29,3,FALSE)&lt;VLOOKUP($B17,'Rate Card'!$A$33:$F$50,4,FALSE),1+VLOOKUP($B17,'Rate Card'!$A$33:$F$50,5,FALSE),1),"")</f>
        <v/>
      </c>
      <c r="L17" s="13">
        <f>IFERROR($E17*$G17*$I17*$J17*$K17,"")</f>
        <v/>
      </c>
      <c r="M17" s="12" t="inlineStr">
        <is>
          <t>Bug bị reject / reopen</t>
        </is>
      </c>
    </row>
    <row r="18">
      <c r="A18" s="12" t="inlineStr">
        <is>
          <t>sample_module</t>
        </is>
      </c>
      <c r="B18" s="12" t="inlineStr">
        <is>
          <t>S4</t>
        </is>
      </c>
      <c r="C18" s="11">
        <f>IFERROR(VLOOKUP($B18,'Rate Card'!$A$5:$C$22,2,FALSE),"")</f>
        <v/>
      </c>
      <c r="D18" s="12" t="inlineStr">
        <is>
          <t>M</t>
        </is>
      </c>
      <c r="E18" s="6">
        <f>E13*regression_scope_rate</f>
        <v/>
      </c>
      <c r="F18" s="11">
        <f>IFERROR(VLOOKUP($B18,'Rate Card'!$A$5:$C$22,3,FALSE),"")</f>
        <v/>
      </c>
      <c r="G18" s="13">
        <f>IFERROR(VLOOKUP($B18,'Rate Card'!$A$5:$G$22,MATCH($D18,'Rate Card'!$D$4:$G$4,0)+3,FALSE),"")</f>
        <v/>
      </c>
      <c r="H18" s="12" t="inlineStr">
        <is>
          <t>Junior</t>
        </is>
      </c>
      <c r="I18" s="13">
        <f>IFERROR(IF(VLOOKUP($B18,'Rate Card'!$A$33:$F$50,6,FALSE)=0,1,VLOOKUP($H18,'Rate Card'!$A$26:$D$29,2,FALSE)),"")</f>
        <v/>
      </c>
      <c r="J18" s="6" t="n">
        <v>1</v>
      </c>
      <c r="K18" s="13">
        <f>IFERROR(IF(VLOOKUP($H18,'Rate Card'!$A$26:$D$29,3,FALSE)&lt;VLOOKUP($B18,'Rate Card'!$A$33:$F$50,4,FALSE),1+VLOOKUP($B18,'Rate Card'!$A$33:$F$50,5,FALSE),1),"")</f>
        <v/>
      </c>
      <c r="L18" s="13">
        <f>IFERROR($E18*$G18*$I18*$J18*$K18,"")</f>
        <v/>
      </c>
      <c r="M18" s="12" t="inlineStr">
        <is>
          <t>Regression vùng ảnh hưởng</t>
        </is>
      </c>
    </row>
    <row r="19">
      <c r="A19" s="12" t="inlineStr">
        <is>
          <t>sample_module</t>
        </is>
      </c>
      <c r="B19" s="12" t="inlineStr">
        <is>
          <t>R1</t>
        </is>
      </c>
      <c r="C19" s="11">
        <f>IFERROR(VLOOKUP($B19,'Rate Card'!$A$5:$C$22,2,FALSE),"")</f>
        <v/>
      </c>
      <c r="D19" s="12" t="inlineStr">
        <is>
          <t>M</t>
        </is>
      </c>
      <c r="E19" s="6">
        <f>rework_rounds</f>
        <v/>
      </c>
      <c r="F19" s="11">
        <f>IFERROR(VLOOKUP($B19,'Rate Card'!$A$5:$C$22,3,FALSE),"")</f>
        <v/>
      </c>
      <c r="G19" s="13">
        <f>IFERROR(VLOOKUP($B19,'Rate Card'!$A$5:$G$22,MATCH($D19,'Rate Card'!$D$4:$G$4,0)+3,FALSE),"")</f>
        <v/>
      </c>
      <c r="H19" s="12" t="inlineStr">
        <is>
          <t>Middle</t>
        </is>
      </c>
      <c r="I19" s="13">
        <f>IFERROR(IF(VLOOKUP($B19,'Rate Card'!$A$33:$F$50,6,FALSE)=0,1,VLOOKUP($H19,'Rate Card'!$A$26:$D$29,2,FALSE)),"")</f>
        <v/>
      </c>
      <c r="J19" s="6" t="n">
        <v>1</v>
      </c>
      <c r="K19" s="13">
        <f>IFERROR(IF(VLOOKUP($H19,'Rate Card'!$A$26:$D$29,3,FALSE)&lt;VLOOKUP($B19,'Rate Card'!$A$33:$F$50,4,FALSE),1+VLOOKUP($B19,'Rate Card'!$A$33:$F$50,5,FALSE),1),"")</f>
        <v/>
      </c>
      <c r="L19" s="13">
        <f>IFERROR($E19*$G19*$I19*$J19*$K19,"")</f>
        <v/>
      </c>
      <c r="M19" s="12" t="inlineStr">
        <is>
          <t>Rework output AI / requirement đổi</t>
        </is>
      </c>
    </row>
    <row r="20">
      <c r="A20" s="12" t="inlineStr">
        <is>
          <t>sample_module</t>
        </is>
      </c>
      <c r="B20" s="12" t="inlineStr">
        <is>
          <t>G5</t>
        </is>
      </c>
      <c r="C20" s="11">
        <f>IFERROR(VLOOKUP($B20,'Rate Card'!$A$5:$C$22,2,FALSE),"")</f>
        <v/>
      </c>
      <c r="D20" s="12" t="inlineStr">
        <is>
          <t>M</t>
        </is>
      </c>
      <c r="E20" s="6" t="n">
        <v>1</v>
      </c>
      <c r="F20" s="11">
        <f>IFERROR(VLOOKUP($B20,'Rate Card'!$A$5:$C$22,3,FALSE),"")</f>
        <v/>
      </c>
      <c r="G20" s="13">
        <f>IFERROR(VLOOKUP($B20,'Rate Card'!$A$5:$G$22,MATCH($D20,'Rate Card'!$D$4:$G$4,0)+3,FALSE),"")</f>
        <v/>
      </c>
      <c r="H20" s="12" t="inlineStr">
        <is>
          <t>Junior</t>
        </is>
      </c>
      <c r="I20" s="13">
        <f>IFERROR(IF(VLOOKUP($B20,'Rate Card'!$A$33:$F$50,6,FALSE)=0,1,VLOOKUP($H20,'Rate Card'!$A$26:$D$29,2,FALSE)),"")</f>
        <v/>
      </c>
      <c r="J20" s="6" t="n">
        <v>1</v>
      </c>
      <c r="K20" s="13">
        <f>IFERROR(IF(VLOOKUP($H20,'Rate Card'!$A$26:$D$29,3,FALSE)&lt;VLOOKUP($B20,'Rate Card'!$A$33:$F$50,4,FALSE),1+VLOOKUP($B20,'Rate Card'!$A$33:$F$50,5,FALSE),1),"")</f>
        <v/>
      </c>
      <c r="L20" s="13">
        <f>IFERROR($E20*$G20*$I20*$J20*$K20,"")</f>
        <v/>
      </c>
      <c r="M20" s="12" t="inlineStr">
        <is>
          <t>Chỉ định AI gen test report</t>
        </is>
      </c>
    </row>
    <row r="21">
      <c r="A21" s="12" t="inlineStr">
        <is>
          <t>sample_module</t>
        </is>
      </c>
      <c r="B21" s="12" t="inlineStr">
        <is>
          <t>A6</t>
        </is>
      </c>
      <c r="C21" s="11">
        <f>IFERROR(VLOOKUP($B21,'Rate Card'!$A$5:$C$22,2,FALSE),"")</f>
        <v/>
      </c>
      <c r="D21" s="12" t="inlineStr">
        <is>
          <t>M</t>
        </is>
      </c>
      <c r="E21" s="6" t="n">
        <v>1</v>
      </c>
      <c r="F21" s="11">
        <f>IFERROR(VLOOKUP($B21,'Rate Card'!$A$5:$C$22,3,FALSE),"")</f>
        <v/>
      </c>
      <c r="G21" s="13">
        <f>IFERROR(VLOOKUP($B21,'Rate Card'!$A$5:$G$22,MATCH($D21,'Rate Card'!$D$4:$G$4,0)+3,FALSE),"")</f>
        <v/>
      </c>
      <c r="H21" s="12" t="inlineStr">
        <is>
          <t>Middle</t>
        </is>
      </c>
      <c r="I21" s="13">
        <f>IFERROR(IF(VLOOKUP($B21,'Rate Card'!$A$33:$F$50,6,FALSE)=0,1,VLOOKUP($H21,'Rate Card'!$A$26:$D$29,2,FALSE)),"")</f>
        <v/>
      </c>
      <c r="J21" s="6" t="n">
        <v>1</v>
      </c>
      <c r="K21" s="13">
        <f>IFERROR(IF(VLOOKUP($H21,'Rate Card'!$A$26:$D$29,3,FALSE)&lt;VLOOKUP($B21,'Rate Card'!$A$33:$F$50,4,FALSE),1+VLOOKUP($B21,'Rate Card'!$A$33:$F$50,5,FALSE),1),"")</f>
        <v/>
      </c>
      <c r="L21" s="13">
        <f>IFERROR($E21*$G21*$I21*$J21*$K21,"")</f>
        <v/>
      </c>
      <c r="M21" s="12" t="inlineStr">
        <is>
          <t>Chốt report + cập nhật status ticket</t>
        </is>
      </c>
    </row>
    <row r="22">
      <c r="A22" s="12" t="n"/>
      <c r="B22" s="12" t="n"/>
      <c r="C22" s="11">
        <f>IFERROR(VLOOKUP($B22,'Rate Card'!$A$5:$C$22,2,FALSE),"")</f>
        <v/>
      </c>
      <c r="D22" s="12" t="n"/>
      <c r="E22" s="6" t="n"/>
      <c r="F22" s="11">
        <f>IFERROR(VLOOKUP($B22,'Rate Card'!$A$5:$C$22,3,FALSE),"")</f>
        <v/>
      </c>
      <c r="G22" s="13">
        <f>IFERROR(VLOOKUP($B22,'Rate Card'!$A$5:$G$22,MATCH($D22,'Rate Card'!$D$4:$G$4,0)+3,FALSE),"")</f>
        <v/>
      </c>
      <c r="H22" s="12" t="n"/>
      <c r="I22" s="13">
        <f>IFERROR(IF(VLOOKUP($B22,'Rate Card'!$A$33:$F$50,6,FALSE)=0,1,VLOOKUP($H22,'Rate Card'!$A$26:$D$29,2,FALSE)),"")</f>
        <v/>
      </c>
      <c r="J22" s="6" t="n"/>
      <c r="K22" s="13">
        <f>IFERROR(IF(VLOOKUP($H22,'Rate Card'!$A$26:$D$29,3,FALSE)&lt;VLOOKUP($B22,'Rate Card'!$A$33:$F$50,4,FALSE),1+VLOOKUP($B22,'Rate Card'!$A$33:$F$50,5,FALSE),1),"")</f>
        <v/>
      </c>
      <c r="L22" s="13">
        <f>IFERROR($E22*$G22*$I22*$J22*$K22,"")</f>
        <v/>
      </c>
      <c r="M22" s="12" t="n"/>
    </row>
    <row r="23">
      <c r="A23" s="12" t="n"/>
      <c r="B23" s="12" t="n"/>
      <c r="C23" s="11">
        <f>IFERROR(VLOOKUP($B23,'Rate Card'!$A$5:$C$22,2,FALSE),"")</f>
        <v/>
      </c>
      <c r="D23" s="12" t="n"/>
      <c r="E23" s="6" t="n"/>
      <c r="F23" s="11">
        <f>IFERROR(VLOOKUP($B23,'Rate Card'!$A$5:$C$22,3,FALSE),"")</f>
        <v/>
      </c>
      <c r="G23" s="13">
        <f>IFERROR(VLOOKUP($B23,'Rate Card'!$A$5:$G$22,MATCH($D23,'Rate Card'!$D$4:$G$4,0)+3,FALSE),"")</f>
        <v/>
      </c>
      <c r="H23" s="12" t="n"/>
      <c r="I23" s="13">
        <f>IFERROR(IF(VLOOKUP($B23,'Rate Card'!$A$33:$F$50,6,FALSE)=0,1,VLOOKUP($H23,'Rate Card'!$A$26:$D$29,2,FALSE)),"")</f>
        <v/>
      </c>
      <c r="J23" s="6" t="n"/>
      <c r="K23" s="13">
        <f>IFERROR(IF(VLOOKUP($H23,'Rate Card'!$A$26:$D$29,3,FALSE)&lt;VLOOKUP($B23,'Rate Card'!$A$33:$F$50,4,FALSE),1+VLOOKUP($B23,'Rate Card'!$A$33:$F$50,5,FALSE),1),"")</f>
        <v/>
      </c>
      <c r="L23" s="13">
        <f>IFERROR($E23*$G23*$I23*$J23*$K23,"")</f>
        <v/>
      </c>
      <c r="M23" s="12" t="n"/>
    </row>
    <row r="24">
      <c r="A24" s="12" t="n"/>
      <c r="B24" s="12" t="n"/>
      <c r="C24" s="11">
        <f>IFERROR(VLOOKUP($B24,'Rate Card'!$A$5:$C$22,2,FALSE),"")</f>
        <v/>
      </c>
      <c r="D24" s="12" t="n"/>
      <c r="E24" s="6" t="n"/>
      <c r="F24" s="11">
        <f>IFERROR(VLOOKUP($B24,'Rate Card'!$A$5:$C$22,3,FALSE),"")</f>
        <v/>
      </c>
      <c r="G24" s="13">
        <f>IFERROR(VLOOKUP($B24,'Rate Card'!$A$5:$G$22,MATCH($D24,'Rate Card'!$D$4:$G$4,0)+3,FALSE),"")</f>
        <v/>
      </c>
      <c r="H24" s="12" t="n"/>
      <c r="I24" s="13">
        <f>IFERROR(IF(VLOOKUP($B24,'Rate Card'!$A$33:$F$50,6,FALSE)=0,1,VLOOKUP($H24,'Rate Card'!$A$26:$D$29,2,FALSE)),"")</f>
        <v/>
      </c>
      <c r="J24" s="6" t="n"/>
      <c r="K24" s="13">
        <f>IFERROR(IF(VLOOKUP($H24,'Rate Card'!$A$26:$D$29,3,FALSE)&lt;VLOOKUP($B24,'Rate Card'!$A$33:$F$50,4,FALSE),1+VLOOKUP($B24,'Rate Card'!$A$33:$F$50,5,FALSE),1),"")</f>
        <v/>
      </c>
      <c r="L24" s="13">
        <f>IFERROR($E24*$G24*$I24*$J24*$K24,"")</f>
        <v/>
      </c>
      <c r="M24" s="12" t="n"/>
    </row>
    <row r="25">
      <c r="A25" s="12" t="n"/>
      <c r="B25" s="12" t="n"/>
      <c r="C25" s="11">
        <f>IFERROR(VLOOKUP($B25,'Rate Card'!$A$5:$C$22,2,FALSE),"")</f>
        <v/>
      </c>
      <c r="D25" s="12" t="n"/>
      <c r="E25" s="6" t="n"/>
      <c r="F25" s="11">
        <f>IFERROR(VLOOKUP($B25,'Rate Card'!$A$5:$C$22,3,FALSE),"")</f>
        <v/>
      </c>
      <c r="G25" s="13">
        <f>IFERROR(VLOOKUP($B25,'Rate Card'!$A$5:$G$22,MATCH($D25,'Rate Card'!$D$4:$G$4,0)+3,FALSE),"")</f>
        <v/>
      </c>
      <c r="H25" s="12" t="n"/>
      <c r="I25" s="13">
        <f>IFERROR(IF(VLOOKUP($B25,'Rate Card'!$A$33:$F$50,6,FALSE)=0,1,VLOOKUP($H25,'Rate Card'!$A$26:$D$29,2,FALSE)),"")</f>
        <v/>
      </c>
      <c r="J25" s="6" t="n"/>
      <c r="K25" s="13">
        <f>IFERROR(IF(VLOOKUP($H25,'Rate Card'!$A$26:$D$29,3,FALSE)&lt;VLOOKUP($B25,'Rate Card'!$A$33:$F$50,4,FALSE),1+VLOOKUP($B25,'Rate Card'!$A$33:$F$50,5,FALSE),1),"")</f>
        <v/>
      </c>
      <c r="L25" s="13">
        <f>IFERROR($E25*$G25*$I25*$J25*$K25,"")</f>
        <v/>
      </c>
      <c r="M25" s="12" t="n"/>
    </row>
    <row r="26">
      <c r="A26" s="12" t="n"/>
      <c r="B26" s="12" t="n"/>
      <c r="C26" s="11">
        <f>IFERROR(VLOOKUP($B26,'Rate Card'!$A$5:$C$22,2,FALSE),"")</f>
        <v/>
      </c>
      <c r="D26" s="12" t="n"/>
      <c r="E26" s="6" t="n"/>
      <c r="F26" s="11">
        <f>IFERROR(VLOOKUP($B26,'Rate Card'!$A$5:$C$22,3,FALSE),"")</f>
        <v/>
      </c>
      <c r="G26" s="13">
        <f>IFERROR(VLOOKUP($B26,'Rate Card'!$A$5:$G$22,MATCH($D26,'Rate Card'!$D$4:$G$4,0)+3,FALSE),"")</f>
        <v/>
      </c>
      <c r="H26" s="12" t="n"/>
      <c r="I26" s="13">
        <f>IFERROR(IF(VLOOKUP($B26,'Rate Card'!$A$33:$F$50,6,FALSE)=0,1,VLOOKUP($H26,'Rate Card'!$A$26:$D$29,2,FALSE)),"")</f>
        <v/>
      </c>
      <c r="J26" s="6" t="n"/>
      <c r="K26" s="13">
        <f>IFERROR(IF(VLOOKUP($H26,'Rate Card'!$A$26:$D$29,3,FALSE)&lt;VLOOKUP($B26,'Rate Card'!$A$33:$F$50,4,FALSE),1+VLOOKUP($B26,'Rate Card'!$A$33:$F$50,5,FALSE),1),"")</f>
        <v/>
      </c>
      <c r="L26" s="13">
        <f>IFERROR($E26*$G26*$I26*$J26*$K26,"")</f>
        <v/>
      </c>
      <c r="M26" s="12" t="n"/>
    </row>
    <row r="27">
      <c r="A27" s="12" t="n"/>
      <c r="B27" s="12" t="n"/>
      <c r="C27" s="11">
        <f>IFERROR(VLOOKUP($B27,'Rate Card'!$A$5:$C$22,2,FALSE),"")</f>
        <v/>
      </c>
      <c r="D27" s="12" t="n"/>
      <c r="E27" s="6" t="n"/>
      <c r="F27" s="11">
        <f>IFERROR(VLOOKUP($B27,'Rate Card'!$A$5:$C$22,3,FALSE),"")</f>
        <v/>
      </c>
      <c r="G27" s="13">
        <f>IFERROR(VLOOKUP($B27,'Rate Card'!$A$5:$G$22,MATCH($D27,'Rate Card'!$D$4:$G$4,0)+3,FALSE),"")</f>
        <v/>
      </c>
      <c r="H27" s="12" t="n"/>
      <c r="I27" s="13">
        <f>IFERROR(IF(VLOOKUP($B27,'Rate Card'!$A$33:$F$50,6,FALSE)=0,1,VLOOKUP($H27,'Rate Card'!$A$26:$D$29,2,FALSE)),"")</f>
        <v/>
      </c>
      <c r="J27" s="6" t="n"/>
      <c r="K27" s="13">
        <f>IFERROR(IF(VLOOKUP($H27,'Rate Card'!$A$26:$D$29,3,FALSE)&lt;VLOOKUP($B27,'Rate Card'!$A$33:$F$50,4,FALSE),1+VLOOKUP($B27,'Rate Card'!$A$33:$F$50,5,FALSE),1),"")</f>
        <v/>
      </c>
      <c r="L27" s="13">
        <f>IFERROR($E27*$G27*$I27*$J27*$K27,"")</f>
        <v/>
      </c>
      <c r="M27" s="12" t="n"/>
    </row>
    <row r="28">
      <c r="A28" s="12" t="n"/>
      <c r="B28" s="12" t="n"/>
      <c r="C28" s="11">
        <f>IFERROR(VLOOKUP($B28,'Rate Card'!$A$5:$C$22,2,FALSE),"")</f>
        <v/>
      </c>
      <c r="D28" s="12" t="n"/>
      <c r="E28" s="6" t="n"/>
      <c r="F28" s="11">
        <f>IFERROR(VLOOKUP($B28,'Rate Card'!$A$5:$C$22,3,FALSE),"")</f>
        <v/>
      </c>
      <c r="G28" s="13">
        <f>IFERROR(VLOOKUP($B28,'Rate Card'!$A$5:$G$22,MATCH($D28,'Rate Card'!$D$4:$G$4,0)+3,FALSE),"")</f>
        <v/>
      </c>
      <c r="H28" s="12" t="n"/>
      <c r="I28" s="13">
        <f>IFERROR(IF(VLOOKUP($B28,'Rate Card'!$A$33:$F$50,6,FALSE)=0,1,VLOOKUP($H28,'Rate Card'!$A$26:$D$29,2,FALSE)),"")</f>
        <v/>
      </c>
      <c r="J28" s="6" t="n"/>
      <c r="K28" s="13">
        <f>IFERROR(IF(VLOOKUP($H28,'Rate Card'!$A$26:$D$29,3,FALSE)&lt;VLOOKUP($B28,'Rate Card'!$A$33:$F$50,4,FALSE),1+VLOOKUP($B28,'Rate Card'!$A$33:$F$50,5,FALSE),1),"")</f>
        <v/>
      </c>
      <c r="L28" s="13">
        <f>IFERROR($E28*$G28*$I28*$J28*$K28,"")</f>
        <v/>
      </c>
      <c r="M28" s="12" t="n"/>
    </row>
    <row r="29">
      <c r="A29" s="12" t="n"/>
      <c r="B29" s="12" t="n"/>
      <c r="C29" s="11">
        <f>IFERROR(VLOOKUP($B29,'Rate Card'!$A$5:$C$22,2,FALSE),"")</f>
        <v/>
      </c>
      <c r="D29" s="12" t="n"/>
      <c r="E29" s="6" t="n"/>
      <c r="F29" s="11">
        <f>IFERROR(VLOOKUP($B29,'Rate Card'!$A$5:$C$22,3,FALSE),"")</f>
        <v/>
      </c>
      <c r="G29" s="13">
        <f>IFERROR(VLOOKUP($B29,'Rate Card'!$A$5:$G$22,MATCH($D29,'Rate Card'!$D$4:$G$4,0)+3,FALSE),"")</f>
        <v/>
      </c>
      <c r="H29" s="12" t="n"/>
      <c r="I29" s="13">
        <f>IFERROR(IF(VLOOKUP($B29,'Rate Card'!$A$33:$F$50,6,FALSE)=0,1,VLOOKUP($H29,'Rate Card'!$A$26:$D$29,2,FALSE)),"")</f>
        <v/>
      </c>
      <c r="J29" s="6" t="n"/>
      <c r="K29" s="13">
        <f>IFERROR(IF(VLOOKUP($H29,'Rate Card'!$A$26:$D$29,3,FALSE)&lt;VLOOKUP($B29,'Rate Card'!$A$33:$F$50,4,FALSE),1+VLOOKUP($B29,'Rate Card'!$A$33:$F$50,5,FALSE),1),"")</f>
        <v/>
      </c>
      <c r="L29" s="13">
        <f>IFERROR($E29*$G29*$I29*$J29*$K29,"")</f>
        <v/>
      </c>
      <c r="M29" s="12" t="n"/>
    </row>
    <row r="30">
      <c r="A30" s="12" t="n"/>
      <c r="B30" s="12" t="n"/>
      <c r="C30" s="11">
        <f>IFERROR(VLOOKUP($B30,'Rate Card'!$A$5:$C$22,2,FALSE),"")</f>
        <v/>
      </c>
      <c r="D30" s="12" t="n"/>
      <c r="E30" s="6" t="n"/>
      <c r="F30" s="11">
        <f>IFERROR(VLOOKUP($B30,'Rate Card'!$A$5:$C$22,3,FALSE),"")</f>
        <v/>
      </c>
      <c r="G30" s="13">
        <f>IFERROR(VLOOKUP($B30,'Rate Card'!$A$5:$G$22,MATCH($D30,'Rate Card'!$D$4:$G$4,0)+3,FALSE),"")</f>
        <v/>
      </c>
      <c r="H30" s="12" t="n"/>
      <c r="I30" s="13">
        <f>IFERROR(IF(VLOOKUP($B30,'Rate Card'!$A$33:$F$50,6,FALSE)=0,1,VLOOKUP($H30,'Rate Card'!$A$26:$D$29,2,FALSE)),"")</f>
        <v/>
      </c>
      <c r="J30" s="6" t="n"/>
      <c r="K30" s="13">
        <f>IFERROR(IF(VLOOKUP($H30,'Rate Card'!$A$26:$D$29,3,FALSE)&lt;VLOOKUP($B30,'Rate Card'!$A$33:$F$50,4,FALSE),1+VLOOKUP($B30,'Rate Card'!$A$33:$F$50,5,FALSE),1),"")</f>
        <v/>
      </c>
      <c r="L30" s="13">
        <f>IFERROR($E30*$G30*$I30*$J30*$K30,"")</f>
        <v/>
      </c>
      <c r="M30" s="12" t="n"/>
    </row>
    <row r="31">
      <c r="A31" s="12" t="n"/>
      <c r="B31" s="12" t="n"/>
      <c r="C31" s="11">
        <f>IFERROR(VLOOKUP($B31,'Rate Card'!$A$5:$C$22,2,FALSE),"")</f>
        <v/>
      </c>
      <c r="D31" s="12" t="n"/>
      <c r="E31" s="6" t="n"/>
      <c r="F31" s="11">
        <f>IFERROR(VLOOKUP($B31,'Rate Card'!$A$5:$C$22,3,FALSE),"")</f>
        <v/>
      </c>
      <c r="G31" s="13">
        <f>IFERROR(VLOOKUP($B31,'Rate Card'!$A$5:$G$22,MATCH($D31,'Rate Card'!$D$4:$G$4,0)+3,FALSE),"")</f>
        <v/>
      </c>
      <c r="H31" s="12" t="n"/>
      <c r="I31" s="13">
        <f>IFERROR(IF(VLOOKUP($B31,'Rate Card'!$A$33:$F$50,6,FALSE)=0,1,VLOOKUP($H31,'Rate Card'!$A$26:$D$29,2,FALSE)),"")</f>
        <v/>
      </c>
      <c r="J31" s="6" t="n"/>
      <c r="K31" s="13">
        <f>IFERROR(IF(VLOOKUP($H31,'Rate Card'!$A$26:$D$29,3,FALSE)&lt;VLOOKUP($B31,'Rate Card'!$A$33:$F$50,4,FALSE),1+VLOOKUP($B31,'Rate Card'!$A$33:$F$50,5,FALSE),1),"")</f>
        <v/>
      </c>
      <c r="L31" s="13">
        <f>IFERROR($E31*$G31*$I31*$J31*$K31,"")</f>
        <v/>
      </c>
      <c r="M31" s="12" t="n"/>
    </row>
    <row r="32">
      <c r="A32" s="12" t="n"/>
      <c r="B32" s="12" t="n"/>
      <c r="C32" s="11">
        <f>IFERROR(VLOOKUP($B32,'Rate Card'!$A$5:$C$22,2,FALSE),"")</f>
        <v/>
      </c>
      <c r="D32" s="12" t="n"/>
      <c r="E32" s="6" t="n"/>
      <c r="F32" s="11">
        <f>IFERROR(VLOOKUP($B32,'Rate Card'!$A$5:$C$22,3,FALSE),"")</f>
        <v/>
      </c>
      <c r="G32" s="13">
        <f>IFERROR(VLOOKUP($B32,'Rate Card'!$A$5:$G$22,MATCH($D32,'Rate Card'!$D$4:$G$4,0)+3,FALSE),"")</f>
        <v/>
      </c>
      <c r="H32" s="12" t="n"/>
      <c r="I32" s="13">
        <f>IFERROR(IF(VLOOKUP($B32,'Rate Card'!$A$33:$F$50,6,FALSE)=0,1,VLOOKUP($H32,'Rate Card'!$A$26:$D$29,2,FALSE)),"")</f>
        <v/>
      </c>
      <c r="J32" s="6" t="n"/>
      <c r="K32" s="13">
        <f>IFERROR(IF(VLOOKUP($H32,'Rate Card'!$A$26:$D$29,3,FALSE)&lt;VLOOKUP($B32,'Rate Card'!$A$33:$F$50,4,FALSE),1+VLOOKUP($B32,'Rate Card'!$A$33:$F$50,5,FALSE),1),"")</f>
        <v/>
      </c>
      <c r="L32" s="13">
        <f>IFERROR($E32*$G32*$I32*$J32*$K32,"")</f>
        <v/>
      </c>
      <c r="M32" s="12" t="n"/>
    </row>
    <row r="33">
      <c r="A33" s="12" t="n"/>
      <c r="B33" s="12" t="n"/>
      <c r="C33" s="11">
        <f>IFERROR(VLOOKUP($B33,'Rate Card'!$A$5:$C$22,2,FALSE),"")</f>
        <v/>
      </c>
      <c r="D33" s="12" t="n"/>
      <c r="E33" s="6" t="n"/>
      <c r="F33" s="11">
        <f>IFERROR(VLOOKUP($B33,'Rate Card'!$A$5:$C$22,3,FALSE),"")</f>
        <v/>
      </c>
      <c r="G33" s="13">
        <f>IFERROR(VLOOKUP($B33,'Rate Card'!$A$5:$G$22,MATCH($D33,'Rate Card'!$D$4:$G$4,0)+3,FALSE),"")</f>
        <v/>
      </c>
      <c r="H33" s="12" t="n"/>
      <c r="I33" s="13">
        <f>IFERROR(IF(VLOOKUP($B33,'Rate Card'!$A$33:$F$50,6,FALSE)=0,1,VLOOKUP($H33,'Rate Card'!$A$26:$D$29,2,FALSE)),"")</f>
        <v/>
      </c>
      <c r="J33" s="6" t="n"/>
      <c r="K33" s="13">
        <f>IFERROR(IF(VLOOKUP($H33,'Rate Card'!$A$26:$D$29,3,FALSE)&lt;VLOOKUP($B33,'Rate Card'!$A$33:$F$50,4,FALSE),1+VLOOKUP($B33,'Rate Card'!$A$33:$F$50,5,FALSE),1),"")</f>
        <v/>
      </c>
      <c r="L33" s="13">
        <f>IFERROR($E33*$G33*$I33*$J33*$K33,"")</f>
        <v/>
      </c>
      <c r="M33" s="12" t="n"/>
    </row>
    <row r="34">
      <c r="A34" s="12" t="n"/>
      <c r="B34" s="12" t="n"/>
      <c r="C34" s="11">
        <f>IFERROR(VLOOKUP($B34,'Rate Card'!$A$5:$C$22,2,FALSE),"")</f>
        <v/>
      </c>
      <c r="D34" s="12" t="n"/>
      <c r="E34" s="6" t="n"/>
      <c r="F34" s="11">
        <f>IFERROR(VLOOKUP($B34,'Rate Card'!$A$5:$C$22,3,FALSE),"")</f>
        <v/>
      </c>
      <c r="G34" s="13">
        <f>IFERROR(VLOOKUP($B34,'Rate Card'!$A$5:$G$22,MATCH($D34,'Rate Card'!$D$4:$G$4,0)+3,FALSE),"")</f>
        <v/>
      </c>
      <c r="H34" s="12" t="n"/>
      <c r="I34" s="13">
        <f>IFERROR(IF(VLOOKUP($B34,'Rate Card'!$A$33:$F$50,6,FALSE)=0,1,VLOOKUP($H34,'Rate Card'!$A$26:$D$29,2,FALSE)),"")</f>
        <v/>
      </c>
      <c r="J34" s="6" t="n"/>
      <c r="K34" s="13">
        <f>IFERROR(IF(VLOOKUP($H34,'Rate Card'!$A$26:$D$29,3,FALSE)&lt;VLOOKUP($B34,'Rate Card'!$A$33:$F$50,4,FALSE),1+VLOOKUP($B34,'Rate Card'!$A$33:$F$50,5,FALSE),1),"")</f>
        <v/>
      </c>
      <c r="L34" s="13">
        <f>IFERROR($E34*$G34*$I34*$J34*$K34,"")</f>
        <v/>
      </c>
      <c r="M34" s="12" t="n"/>
    </row>
    <row r="35">
      <c r="A35" s="12" t="n"/>
      <c r="B35" s="12" t="n"/>
      <c r="C35" s="11">
        <f>IFERROR(VLOOKUP($B35,'Rate Card'!$A$5:$C$22,2,FALSE),"")</f>
        <v/>
      </c>
      <c r="D35" s="12" t="n"/>
      <c r="E35" s="6" t="n"/>
      <c r="F35" s="11">
        <f>IFERROR(VLOOKUP($B35,'Rate Card'!$A$5:$C$22,3,FALSE),"")</f>
        <v/>
      </c>
      <c r="G35" s="13">
        <f>IFERROR(VLOOKUP($B35,'Rate Card'!$A$5:$G$22,MATCH($D35,'Rate Card'!$D$4:$G$4,0)+3,FALSE),"")</f>
        <v/>
      </c>
      <c r="H35" s="12" t="n"/>
      <c r="I35" s="13">
        <f>IFERROR(IF(VLOOKUP($B35,'Rate Card'!$A$33:$F$50,6,FALSE)=0,1,VLOOKUP($H35,'Rate Card'!$A$26:$D$29,2,FALSE)),"")</f>
        <v/>
      </c>
      <c r="J35" s="6" t="n"/>
      <c r="K35" s="13">
        <f>IFERROR(IF(VLOOKUP($H35,'Rate Card'!$A$26:$D$29,3,FALSE)&lt;VLOOKUP($B35,'Rate Card'!$A$33:$F$50,4,FALSE),1+VLOOKUP($B35,'Rate Card'!$A$33:$F$50,5,FALSE),1),"")</f>
        <v/>
      </c>
      <c r="L35" s="13">
        <f>IFERROR($E35*$G35*$I35*$J35*$K35,"")</f>
        <v/>
      </c>
      <c r="M35" s="12" t="n"/>
    </row>
    <row r="36">
      <c r="A36" s="12" t="n"/>
      <c r="B36" s="12" t="n"/>
      <c r="C36" s="11">
        <f>IFERROR(VLOOKUP($B36,'Rate Card'!$A$5:$C$22,2,FALSE),"")</f>
        <v/>
      </c>
      <c r="D36" s="12" t="n"/>
      <c r="E36" s="6" t="n"/>
      <c r="F36" s="11">
        <f>IFERROR(VLOOKUP($B36,'Rate Card'!$A$5:$C$22,3,FALSE),"")</f>
        <v/>
      </c>
      <c r="G36" s="13">
        <f>IFERROR(VLOOKUP($B36,'Rate Card'!$A$5:$G$22,MATCH($D36,'Rate Card'!$D$4:$G$4,0)+3,FALSE),"")</f>
        <v/>
      </c>
      <c r="H36" s="12" t="n"/>
      <c r="I36" s="13">
        <f>IFERROR(IF(VLOOKUP($B36,'Rate Card'!$A$33:$F$50,6,FALSE)=0,1,VLOOKUP($H36,'Rate Card'!$A$26:$D$29,2,FALSE)),"")</f>
        <v/>
      </c>
      <c r="J36" s="6" t="n"/>
      <c r="K36" s="13">
        <f>IFERROR(IF(VLOOKUP($H36,'Rate Card'!$A$26:$D$29,3,FALSE)&lt;VLOOKUP($B36,'Rate Card'!$A$33:$F$50,4,FALSE),1+VLOOKUP($B36,'Rate Card'!$A$33:$F$50,5,FALSE),1),"")</f>
        <v/>
      </c>
      <c r="L36" s="13">
        <f>IFERROR($E36*$G36*$I36*$J36*$K36,"")</f>
        <v/>
      </c>
      <c r="M36" s="12" t="n"/>
    </row>
    <row r="37">
      <c r="A37" s="12" t="n"/>
      <c r="B37" s="12" t="n"/>
      <c r="C37" s="11">
        <f>IFERROR(VLOOKUP($B37,'Rate Card'!$A$5:$C$22,2,FALSE),"")</f>
        <v/>
      </c>
      <c r="D37" s="12" t="n"/>
      <c r="E37" s="6" t="n"/>
      <c r="F37" s="11">
        <f>IFERROR(VLOOKUP($B37,'Rate Card'!$A$5:$C$22,3,FALSE),"")</f>
        <v/>
      </c>
      <c r="G37" s="13">
        <f>IFERROR(VLOOKUP($B37,'Rate Card'!$A$5:$G$22,MATCH($D37,'Rate Card'!$D$4:$G$4,0)+3,FALSE),"")</f>
        <v/>
      </c>
      <c r="H37" s="12" t="n"/>
      <c r="I37" s="13">
        <f>IFERROR(IF(VLOOKUP($B37,'Rate Card'!$A$33:$F$50,6,FALSE)=0,1,VLOOKUP($H37,'Rate Card'!$A$26:$D$29,2,FALSE)),"")</f>
        <v/>
      </c>
      <c r="J37" s="6" t="n"/>
      <c r="K37" s="13">
        <f>IFERROR(IF(VLOOKUP($H37,'Rate Card'!$A$26:$D$29,3,FALSE)&lt;VLOOKUP($B37,'Rate Card'!$A$33:$F$50,4,FALSE),1+VLOOKUP($B37,'Rate Card'!$A$33:$F$50,5,FALSE),1),"")</f>
        <v/>
      </c>
      <c r="L37" s="13">
        <f>IFERROR($E37*$G37*$I37*$J37*$K37,"")</f>
        <v/>
      </c>
      <c r="M37" s="12" t="n"/>
    </row>
    <row r="38">
      <c r="A38" s="12" t="n"/>
      <c r="B38" s="12" t="n"/>
      <c r="C38" s="11">
        <f>IFERROR(VLOOKUP($B38,'Rate Card'!$A$5:$C$22,2,FALSE),"")</f>
        <v/>
      </c>
      <c r="D38" s="12" t="n"/>
      <c r="E38" s="6" t="n"/>
      <c r="F38" s="11">
        <f>IFERROR(VLOOKUP($B38,'Rate Card'!$A$5:$C$22,3,FALSE),"")</f>
        <v/>
      </c>
      <c r="G38" s="13">
        <f>IFERROR(VLOOKUP($B38,'Rate Card'!$A$5:$G$22,MATCH($D38,'Rate Card'!$D$4:$G$4,0)+3,FALSE),"")</f>
        <v/>
      </c>
      <c r="H38" s="12" t="n"/>
      <c r="I38" s="13">
        <f>IFERROR(IF(VLOOKUP($B38,'Rate Card'!$A$33:$F$50,6,FALSE)=0,1,VLOOKUP($H38,'Rate Card'!$A$26:$D$29,2,FALSE)),"")</f>
        <v/>
      </c>
      <c r="J38" s="6" t="n"/>
      <c r="K38" s="13">
        <f>IFERROR(IF(VLOOKUP($H38,'Rate Card'!$A$26:$D$29,3,FALSE)&lt;VLOOKUP($B38,'Rate Card'!$A$33:$F$50,4,FALSE),1+VLOOKUP($B38,'Rate Card'!$A$33:$F$50,5,FALSE),1),"")</f>
        <v/>
      </c>
      <c r="L38" s="13">
        <f>IFERROR($E38*$G38*$I38*$J38*$K38,"")</f>
        <v/>
      </c>
      <c r="M38" s="12" t="n"/>
    </row>
    <row r="39">
      <c r="A39" s="12" t="n"/>
      <c r="B39" s="12" t="n"/>
      <c r="C39" s="11">
        <f>IFERROR(VLOOKUP($B39,'Rate Card'!$A$5:$C$22,2,FALSE),"")</f>
        <v/>
      </c>
      <c r="D39" s="12" t="n"/>
      <c r="E39" s="6" t="n"/>
      <c r="F39" s="11">
        <f>IFERROR(VLOOKUP($B39,'Rate Card'!$A$5:$C$22,3,FALSE),"")</f>
        <v/>
      </c>
      <c r="G39" s="13">
        <f>IFERROR(VLOOKUP($B39,'Rate Card'!$A$5:$G$22,MATCH($D39,'Rate Card'!$D$4:$G$4,0)+3,FALSE),"")</f>
        <v/>
      </c>
      <c r="H39" s="12" t="n"/>
      <c r="I39" s="13">
        <f>IFERROR(IF(VLOOKUP($B39,'Rate Card'!$A$33:$F$50,6,FALSE)=0,1,VLOOKUP($H39,'Rate Card'!$A$26:$D$29,2,FALSE)),"")</f>
        <v/>
      </c>
      <c r="J39" s="6" t="n"/>
      <c r="K39" s="13">
        <f>IFERROR(IF(VLOOKUP($H39,'Rate Card'!$A$26:$D$29,3,FALSE)&lt;VLOOKUP($B39,'Rate Card'!$A$33:$F$50,4,FALSE),1+VLOOKUP($B39,'Rate Card'!$A$33:$F$50,5,FALSE),1),"")</f>
        <v/>
      </c>
      <c r="L39" s="13">
        <f>IFERROR($E39*$G39*$I39*$J39*$K39,"")</f>
        <v/>
      </c>
      <c r="M39" s="12" t="n"/>
    </row>
    <row r="40">
      <c r="A40" s="12" t="n"/>
      <c r="B40" s="12" t="n"/>
      <c r="C40" s="11">
        <f>IFERROR(VLOOKUP($B40,'Rate Card'!$A$5:$C$22,2,FALSE),"")</f>
        <v/>
      </c>
      <c r="D40" s="12" t="n"/>
      <c r="E40" s="6" t="n"/>
      <c r="F40" s="11">
        <f>IFERROR(VLOOKUP($B40,'Rate Card'!$A$5:$C$22,3,FALSE),"")</f>
        <v/>
      </c>
      <c r="G40" s="13">
        <f>IFERROR(VLOOKUP($B40,'Rate Card'!$A$5:$G$22,MATCH($D40,'Rate Card'!$D$4:$G$4,0)+3,FALSE),"")</f>
        <v/>
      </c>
      <c r="H40" s="12" t="n"/>
      <c r="I40" s="13">
        <f>IFERROR(IF(VLOOKUP($B40,'Rate Card'!$A$33:$F$50,6,FALSE)=0,1,VLOOKUP($H40,'Rate Card'!$A$26:$D$29,2,FALSE)),"")</f>
        <v/>
      </c>
      <c r="J40" s="6" t="n"/>
      <c r="K40" s="13">
        <f>IFERROR(IF(VLOOKUP($H40,'Rate Card'!$A$26:$D$29,3,FALSE)&lt;VLOOKUP($B40,'Rate Card'!$A$33:$F$50,4,FALSE),1+VLOOKUP($B40,'Rate Card'!$A$33:$F$50,5,FALSE),1),"")</f>
        <v/>
      </c>
      <c r="L40" s="13">
        <f>IFERROR($E40*$G40*$I40*$J40*$K40,"")</f>
        <v/>
      </c>
      <c r="M40" s="12" t="n"/>
    </row>
    <row r="41">
      <c r="A41" s="12" t="n"/>
      <c r="B41" s="12" t="n"/>
      <c r="C41" s="11">
        <f>IFERROR(VLOOKUP($B41,'Rate Card'!$A$5:$C$22,2,FALSE),"")</f>
        <v/>
      </c>
      <c r="D41" s="12" t="n"/>
      <c r="E41" s="6" t="n"/>
      <c r="F41" s="11">
        <f>IFERROR(VLOOKUP($B41,'Rate Card'!$A$5:$C$22,3,FALSE),"")</f>
        <v/>
      </c>
      <c r="G41" s="13">
        <f>IFERROR(VLOOKUP($B41,'Rate Card'!$A$5:$G$22,MATCH($D41,'Rate Card'!$D$4:$G$4,0)+3,FALSE),"")</f>
        <v/>
      </c>
      <c r="H41" s="12" t="n"/>
      <c r="I41" s="13">
        <f>IFERROR(IF(VLOOKUP($B41,'Rate Card'!$A$33:$F$50,6,FALSE)=0,1,VLOOKUP($H41,'Rate Card'!$A$26:$D$29,2,FALSE)),"")</f>
        <v/>
      </c>
      <c r="J41" s="6" t="n"/>
      <c r="K41" s="13">
        <f>IFERROR(IF(VLOOKUP($H41,'Rate Card'!$A$26:$D$29,3,FALSE)&lt;VLOOKUP($B41,'Rate Card'!$A$33:$F$50,4,FALSE),1+VLOOKUP($B41,'Rate Card'!$A$33:$F$50,5,FALSE),1),"")</f>
        <v/>
      </c>
      <c r="L41" s="13">
        <f>IFERROR($E41*$G41*$I41*$J41*$K41,"")</f>
        <v/>
      </c>
      <c r="M41" s="12" t="n"/>
    </row>
    <row r="42">
      <c r="A42" s="12" t="n"/>
      <c r="B42" s="12" t="n"/>
      <c r="C42" s="11">
        <f>IFERROR(VLOOKUP($B42,'Rate Card'!$A$5:$C$22,2,FALSE),"")</f>
        <v/>
      </c>
      <c r="D42" s="12" t="n"/>
      <c r="E42" s="6" t="n"/>
      <c r="F42" s="11">
        <f>IFERROR(VLOOKUP($B42,'Rate Card'!$A$5:$C$22,3,FALSE),"")</f>
        <v/>
      </c>
      <c r="G42" s="13">
        <f>IFERROR(VLOOKUP($B42,'Rate Card'!$A$5:$G$22,MATCH($D42,'Rate Card'!$D$4:$G$4,0)+3,FALSE),"")</f>
        <v/>
      </c>
      <c r="H42" s="12" t="n"/>
      <c r="I42" s="13">
        <f>IFERROR(IF(VLOOKUP($B42,'Rate Card'!$A$33:$F$50,6,FALSE)=0,1,VLOOKUP($H42,'Rate Card'!$A$26:$D$29,2,FALSE)),"")</f>
        <v/>
      </c>
      <c r="J42" s="6" t="n"/>
      <c r="K42" s="13">
        <f>IFERROR(IF(VLOOKUP($H42,'Rate Card'!$A$26:$D$29,3,FALSE)&lt;VLOOKUP($B42,'Rate Card'!$A$33:$F$50,4,FALSE),1+VLOOKUP($B42,'Rate Card'!$A$33:$F$50,5,FALSE),1),"")</f>
        <v/>
      </c>
      <c r="L42" s="13">
        <f>IFERROR($E42*$G42*$I42*$J42*$K42,"")</f>
        <v/>
      </c>
      <c r="M42" s="12" t="n"/>
    </row>
    <row r="43">
      <c r="A43" s="12" t="n"/>
      <c r="B43" s="12" t="n"/>
      <c r="C43" s="11">
        <f>IFERROR(VLOOKUP($B43,'Rate Card'!$A$5:$C$22,2,FALSE),"")</f>
        <v/>
      </c>
      <c r="D43" s="12" t="n"/>
      <c r="E43" s="6" t="n"/>
      <c r="F43" s="11">
        <f>IFERROR(VLOOKUP($B43,'Rate Card'!$A$5:$C$22,3,FALSE),"")</f>
        <v/>
      </c>
      <c r="G43" s="13">
        <f>IFERROR(VLOOKUP($B43,'Rate Card'!$A$5:$G$22,MATCH($D43,'Rate Card'!$D$4:$G$4,0)+3,FALSE),"")</f>
        <v/>
      </c>
      <c r="H43" s="12" t="n"/>
      <c r="I43" s="13">
        <f>IFERROR(IF(VLOOKUP($B43,'Rate Card'!$A$33:$F$50,6,FALSE)=0,1,VLOOKUP($H43,'Rate Card'!$A$26:$D$29,2,FALSE)),"")</f>
        <v/>
      </c>
      <c r="J43" s="6" t="n"/>
      <c r="K43" s="13">
        <f>IFERROR(IF(VLOOKUP($H43,'Rate Card'!$A$26:$D$29,3,FALSE)&lt;VLOOKUP($B43,'Rate Card'!$A$33:$F$50,4,FALSE),1+VLOOKUP($B43,'Rate Card'!$A$33:$F$50,5,FALSE),1),"")</f>
        <v/>
      </c>
      <c r="L43" s="13">
        <f>IFERROR($E43*$G43*$I43*$J43*$K43,"")</f>
        <v/>
      </c>
      <c r="M43" s="12" t="n"/>
    </row>
    <row r="44">
      <c r="A44" s="12" t="n"/>
      <c r="B44" s="12" t="n"/>
      <c r="C44" s="11">
        <f>IFERROR(VLOOKUP($B44,'Rate Card'!$A$5:$C$22,2,FALSE),"")</f>
        <v/>
      </c>
      <c r="D44" s="12" t="n"/>
      <c r="E44" s="6" t="n"/>
      <c r="F44" s="11">
        <f>IFERROR(VLOOKUP($B44,'Rate Card'!$A$5:$C$22,3,FALSE),"")</f>
        <v/>
      </c>
      <c r="G44" s="13">
        <f>IFERROR(VLOOKUP($B44,'Rate Card'!$A$5:$G$22,MATCH($D44,'Rate Card'!$D$4:$G$4,0)+3,FALSE),"")</f>
        <v/>
      </c>
      <c r="H44" s="12" t="n"/>
      <c r="I44" s="13">
        <f>IFERROR(IF(VLOOKUP($B44,'Rate Card'!$A$33:$F$50,6,FALSE)=0,1,VLOOKUP($H44,'Rate Card'!$A$26:$D$29,2,FALSE)),"")</f>
        <v/>
      </c>
      <c r="J44" s="6" t="n"/>
      <c r="K44" s="13">
        <f>IFERROR(IF(VLOOKUP($H44,'Rate Card'!$A$26:$D$29,3,FALSE)&lt;VLOOKUP($B44,'Rate Card'!$A$33:$F$50,4,FALSE),1+VLOOKUP($B44,'Rate Card'!$A$33:$F$50,5,FALSE),1),"")</f>
        <v/>
      </c>
      <c r="L44" s="13">
        <f>IFERROR($E44*$G44*$I44*$J44*$K44,"")</f>
        <v/>
      </c>
      <c r="M44" s="12" t="n"/>
    </row>
    <row r="45">
      <c r="A45" s="12" t="n"/>
      <c r="B45" s="12" t="n"/>
      <c r="C45" s="11">
        <f>IFERROR(VLOOKUP($B45,'Rate Card'!$A$5:$C$22,2,FALSE),"")</f>
        <v/>
      </c>
      <c r="D45" s="12" t="n"/>
      <c r="E45" s="6" t="n"/>
      <c r="F45" s="11">
        <f>IFERROR(VLOOKUP($B45,'Rate Card'!$A$5:$C$22,3,FALSE),"")</f>
        <v/>
      </c>
      <c r="G45" s="13">
        <f>IFERROR(VLOOKUP($B45,'Rate Card'!$A$5:$G$22,MATCH($D45,'Rate Card'!$D$4:$G$4,0)+3,FALSE),"")</f>
        <v/>
      </c>
      <c r="H45" s="12" t="n"/>
      <c r="I45" s="13">
        <f>IFERROR(IF(VLOOKUP($B45,'Rate Card'!$A$33:$F$50,6,FALSE)=0,1,VLOOKUP($H45,'Rate Card'!$A$26:$D$29,2,FALSE)),"")</f>
        <v/>
      </c>
      <c r="J45" s="6" t="n"/>
      <c r="K45" s="13">
        <f>IFERROR(IF(VLOOKUP($H45,'Rate Card'!$A$26:$D$29,3,FALSE)&lt;VLOOKUP($B45,'Rate Card'!$A$33:$F$50,4,FALSE),1+VLOOKUP($B45,'Rate Card'!$A$33:$F$50,5,FALSE),1),"")</f>
        <v/>
      </c>
      <c r="L45" s="13">
        <f>IFERROR($E45*$G45*$I45*$J45*$K45,"")</f>
        <v/>
      </c>
      <c r="M45" s="12" t="n"/>
    </row>
    <row r="46">
      <c r="A46" s="12" t="n"/>
      <c r="B46" s="12" t="n"/>
      <c r="C46" s="11">
        <f>IFERROR(VLOOKUP($B46,'Rate Card'!$A$5:$C$22,2,FALSE),"")</f>
        <v/>
      </c>
      <c r="D46" s="12" t="n"/>
      <c r="E46" s="6" t="n"/>
      <c r="F46" s="11">
        <f>IFERROR(VLOOKUP($B46,'Rate Card'!$A$5:$C$22,3,FALSE),"")</f>
        <v/>
      </c>
      <c r="G46" s="13">
        <f>IFERROR(VLOOKUP($B46,'Rate Card'!$A$5:$G$22,MATCH($D46,'Rate Card'!$D$4:$G$4,0)+3,FALSE),"")</f>
        <v/>
      </c>
      <c r="H46" s="12" t="n"/>
      <c r="I46" s="13">
        <f>IFERROR(IF(VLOOKUP($B46,'Rate Card'!$A$33:$F$50,6,FALSE)=0,1,VLOOKUP($H46,'Rate Card'!$A$26:$D$29,2,FALSE)),"")</f>
        <v/>
      </c>
      <c r="J46" s="6" t="n"/>
      <c r="K46" s="13">
        <f>IFERROR(IF(VLOOKUP($H46,'Rate Card'!$A$26:$D$29,3,FALSE)&lt;VLOOKUP($B46,'Rate Card'!$A$33:$F$50,4,FALSE),1+VLOOKUP($B46,'Rate Card'!$A$33:$F$50,5,FALSE),1),"")</f>
        <v/>
      </c>
      <c r="L46" s="13">
        <f>IFERROR($E46*$G46*$I46*$J46*$K46,"")</f>
        <v/>
      </c>
      <c r="M46" s="12" t="n"/>
    </row>
    <row r="47">
      <c r="A47" s="12" t="n"/>
      <c r="B47" s="12" t="n"/>
      <c r="C47" s="11">
        <f>IFERROR(VLOOKUP($B47,'Rate Card'!$A$5:$C$22,2,FALSE),"")</f>
        <v/>
      </c>
      <c r="D47" s="12" t="n"/>
      <c r="E47" s="6" t="n"/>
      <c r="F47" s="11">
        <f>IFERROR(VLOOKUP($B47,'Rate Card'!$A$5:$C$22,3,FALSE),"")</f>
        <v/>
      </c>
      <c r="G47" s="13">
        <f>IFERROR(VLOOKUP($B47,'Rate Card'!$A$5:$G$22,MATCH($D47,'Rate Card'!$D$4:$G$4,0)+3,FALSE),"")</f>
        <v/>
      </c>
      <c r="H47" s="12" t="n"/>
      <c r="I47" s="13">
        <f>IFERROR(IF(VLOOKUP($B47,'Rate Card'!$A$33:$F$50,6,FALSE)=0,1,VLOOKUP($H47,'Rate Card'!$A$26:$D$29,2,FALSE)),"")</f>
        <v/>
      </c>
      <c r="J47" s="6" t="n"/>
      <c r="K47" s="13">
        <f>IFERROR(IF(VLOOKUP($H47,'Rate Card'!$A$26:$D$29,3,FALSE)&lt;VLOOKUP($B47,'Rate Card'!$A$33:$F$50,4,FALSE),1+VLOOKUP($B47,'Rate Card'!$A$33:$F$50,5,FALSE),1),"")</f>
        <v/>
      </c>
      <c r="L47" s="13">
        <f>IFERROR($E47*$G47*$I47*$J47*$K47,"")</f>
        <v/>
      </c>
      <c r="M47" s="12" t="n"/>
    </row>
    <row r="48">
      <c r="A48" s="12" t="n"/>
      <c r="B48" s="12" t="n"/>
      <c r="C48" s="11">
        <f>IFERROR(VLOOKUP($B48,'Rate Card'!$A$5:$C$22,2,FALSE),"")</f>
        <v/>
      </c>
      <c r="D48" s="12" t="n"/>
      <c r="E48" s="6" t="n"/>
      <c r="F48" s="11">
        <f>IFERROR(VLOOKUP($B48,'Rate Card'!$A$5:$C$22,3,FALSE),"")</f>
        <v/>
      </c>
      <c r="G48" s="13">
        <f>IFERROR(VLOOKUP($B48,'Rate Card'!$A$5:$G$22,MATCH($D48,'Rate Card'!$D$4:$G$4,0)+3,FALSE),"")</f>
        <v/>
      </c>
      <c r="H48" s="12" t="n"/>
      <c r="I48" s="13">
        <f>IFERROR(IF(VLOOKUP($B48,'Rate Card'!$A$33:$F$50,6,FALSE)=0,1,VLOOKUP($H48,'Rate Card'!$A$26:$D$29,2,FALSE)),"")</f>
        <v/>
      </c>
      <c r="J48" s="6" t="n"/>
      <c r="K48" s="13">
        <f>IFERROR(IF(VLOOKUP($H48,'Rate Card'!$A$26:$D$29,3,FALSE)&lt;VLOOKUP($B48,'Rate Card'!$A$33:$F$50,4,FALSE),1+VLOOKUP($B48,'Rate Card'!$A$33:$F$50,5,FALSE),1),"")</f>
        <v/>
      </c>
      <c r="L48" s="13">
        <f>IFERROR($E48*$G48*$I48*$J48*$K48,"")</f>
        <v/>
      </c>
      <c r="M48" s="12" t="n"/>
    </row>
    <row r="49">
      <c r="A49" s="12" t="n"/>
      <c r="B49" s="12" t="n"/>
      <c r="C49" s="11">
        <f>IFERROR(VLOOKUP($B49,'Rate Card'!$A$5:$C$22,2,FALSE),"")</f>
        <v/>
      </c>
      <c r="D49" s="12" t="n"/>
      <c r="E49" s="6" t="n"/>
      <c r="F49" s="11">
        <f>IFERROR(VLOOKUP($B49,'Rate Card'!$A$5:$C$22,3,FALSE),"")</f>
        <v/>
      </c>
      <c r="G49" s="13">
        <f>IFERROR(VLOOKUP($B49,'Rate Card'!$A$5:$G$22,MATCH($D49,'Rate Card'!$D$4:$G$4,0)+3,FALSE),"")</f>
        <v/>
      </c>
      <c r="H49" s="12" t="n"/>
      <c r="I49" s="13">
        <f>IFERROR(IF(VLOOKUP($B49,'Rate Card'!$A$33:$F$50,6,FALSE)=0,1,VLOOKUP($H49,'Rate Card'!$A$26:$D$29,2,FALSE)),"")</f>
        <v/>
      </c>
      <c r="J49" s="6" t="n"/>
      <c r="K49" s="13">
        <f>IFERROR(IF(VLOOKUP($H49,'Rate Card'!$A$26:$D$29,3,FALSE)&lt;VLOOKUP($B49,'Rate Card'!$A$33:$F$50,4,FALSE),1+VLOOKUP($B49,'Rate Card'!$A$33:$F$50,5,FALSE),1),"")</f>
        <v/>
      </c>
      <c r="L49" s="13">
        <f>IFERROR($E49*$G49*$I49*$J49*$K49,"")</f>
        <v/>
      </c>
      <c r="M49" s="12" t="n"/>
    </row>
    <row r="50">
      <c r="A50" s="12" t="n"/>
      <c r="B50" s="12" t="n"/>
      <c r="C50" s="11">
        <f>IFERROR(VLOOKUP($B50,'Rate Card'!$A$5:$C$22,2,FALSE),"")</f>
        <v/>
      </c>
      <c r="D50" s="12" t="n"/>
      <c r="E50" s="6" t="n"/>
      <c r="F50" s="11">
        <f>IFERROR(VLOOKUP($B50,'Rate Card'!$A$5:$C$22,3,FALSE),"")</f>
        <v/>
      </c>
      <c r="G50" s="13">
        <f>IFERROR(VLOOKUP($B50,'Rate Card'!$A$5:$G$22,MATCH($D50,'Rate Card'!$D$4:$G$4,0)+3,FALSE),"")</f>
        <v/>
      </c>
      <c r="H50" s="12" t="n"/>
      <c r="I50" s="13">
        <f>IFERROR(IF(VLOOKUP($B50,'Rate Card'!$A$33:$F$50,6,FALSE)=0,1,VLOOKUP($H50,'Rate Card'!$A$26:$D$29,2,FALSE)),"")</f>
        <v/>
      </c>
      <c r="J50" s="6" t="n"/>
      <c r="K50" s="13">
        <f>IFERROR(IF(VLOOKUP($H50,'Rate Card'!$A$26:$D$29,3,FALSE)&lt;VLOOKUP($B50,'Rate Card'!$A$33:$F$50,4,FALSE),1+VLOOKUP($B50,'Rate Card'!$A$33:$F$50,5,FALSE),1),"")</f>
        <v/>
      </c>
      <c r="L50" s="13">
        <f>IFERROR($E50*$G50*$I50*$J50*$K50,"")</f>
        <v/>
      </c>
      <c r="M50" s="12" t="n"/>
    </row>
    <row r="51">
      <c r="A51" s="12" t="n"/>
      <c r="B51" s="12" t="n"/>
      <c r="C51" s="11">
        <f>IFERROR(VLOOKUP($B51,'Rate Card'!$A$5:$C$22,2,FALSE),"")</f>
        <v/>
      </c>
      <c r="D51" s="12" t="n"/>
      <c r="E51" s="6" t="n"/>
      <c r="F51" s="11">
        <f>IFERROR(VLOOKUP($B51,'Rate Card'!$A$5:$C$22,3,FALSE),"")</f>
        <v/>
      </c>
      <c r="G51" s="13">
        <f>IFERROR(VLOOKUP($B51,'Rate Card'!$A$5:$G$22,MATCH($D51,'Rate Card'!$D$4:$G$4,0)+3,FALSE),"")</f>
        <v/>
      </c>
      <c r="H51" s="12" t="n"/>
      <c r="I51" s="13">
        <f>IFERROR(IF(VLOOKUP($B51,'Rate Card'!$A$33:$F$50,6,FALSE)=0,1,VLOOKUP($H51,'Rate Card'!$A$26:$D$29,2,FALSE)),"")</f>
        <v/>
      </c>
      <c r="J51" s="6" t="n"/>
      <c r="K51" s="13">
        <f>IFERROR(IF(VLOOKUP($H51,'Rate Card'!$A$26:$D$29,3,FALSE)&lt;VLOOKUP($B51,'Rate Card'!$A$33:$F$50,4,FALSE),1+VLOOKUP($B51,'Rate Card'!$A$33:$F$50,5,FALSE),1),"")</f>
        <v/>
      </c>
      <c r="L51" s="13">
        <f>IFERROR($E51*$G51*$I51*$J51*$K51,"")</f>
        <v/>
      </c>
      <c r="M51" s="12" t="n"/>
    </row>
    <row r="52">
      <c r="A52" s="12" t="n"/>
      <c r="B52" s="12" t="n"/>
      <c r="C52" s="11">
        <f>IFERROR(VLOOKUP($B52,'Rate Card'!$A$5:$C$22,2,FALSE),"")</f>
        <v/>
      </c>
      <c r="D52" s="12" t="n"/>
      <c r="E52" s="6" t="n"/>
      <c r="F52" s="11">
        <f>IFERROR(VLOOKUP($B52,'Rate Card'!$A$5:$C$22,3,FALSE),"")</f>
        <v/>
      </c>
      <c r="G52" s="13">
        <f>IFERROR(VLOOKUP($B52,'Rate Card'!$A$5:$G$22,MATCH($D52,'Rate Card'!$D$4:$G$4,0)+3,FALSE),"")</f>
        <v/>
      </c>
      <c r="H52" s="12" t="n"/>
      <c r="I52" s="13">
        <f>IFERROR(IF(VLOOKUP($B52,'Rate Card'!$A$33:$F$50,6,FALSE)=0,1,VLOOKUP($H52,'Rate Card'!$A$26:$D$29,2,FALSE)),"")</f>
        <v/>
      </c>
      <c r="J52" s="6" t="n"/>
      <c r="K52" s="13">
        <f>IFERROR(IF(VLOOKUP($H52,'Rate Card'!$A$26:$D$29,3,FALSE)&lt;VLOOKUP($B52,'Rate Card'!$A$33:$F$50,4,FALSE),1+VLOOKUP($B52,'Rate Card'!$A$33:$F$50,5,FALSE),1),"")</f>
        <v/>
      </c>
      <c r="L52" s="13">
        <f>IFERROR($E52*$G52*$I52*$J52*$K52,"")</f>
        <v/>
      </c>
      <c r="M52" s="12" t="n"/>
    </row>
    <row r="53">
      <c r="A53" s="12" t="n"/>
      <c r="B53" s="12" t="n"/>
      <c r="C53" s="11">
        <f>IFERROR(VLOOKUP($B53,'Rate Card'!$A$5:$C$22,2,FALSE),"")</f>
        <v/>
      </c>
      <c r="D53" s="12" t="n"/>
      <c r="E53" s="6" t="n"/>
      <c r="F53" s="11">
        <f>IFERROR(VLOOKUP($B53,'Rate Card'!$A$5:$C$22,3,FALSE),"")</f>
        <v/>
      </c>
      <c r="G53" s="13">
        <f>IFERROR(VLOOKUP($B53,'Rate Card'!$A$5:$G$22,MATCH($D53,'Rate Card'!$D$4:$G$4,0)+3,FALSE),"")</f>
        <v/>
      </c>
      <c r="H53" s="12" t="n"/>
      <c r="I53" s="13">
        <f>IFERROR(IF(VLOOKUP($B53,'Rate Card'!$A$33:$F$50,6,FALSE)=0,1,VLOOKUP($H53,'Rate Card'!$A$26:$D$29,2,FALSE)),"")</f>
        <v/>
      </c>
      <c r="J53" s="6" t="n"/>
      <c r="K53" s="13">
        <f>IFERROR(IF(VLOOKUP($H53,'Rate Card'!$A$26:$D$29,3,FALSE)&lt;VLOOKUP($B53,'Rate Card'!$A$33:$F$50,4,FALSE),1+VLOOKUP($B53,'Rate Card'!$A$33:$F$50,5,FALSE),1),"")</f>
        <v/>
      </c>
      <c r="L53" s="13">
        <f>IFERROR($E53*$G53*$I53*$J53*$K53,"")</f>
        <v/>
      </c>
      <c r="M53" s="12" t="n"/>
    </row>
    <row r="54">
      <c r="A54" s="12" t="n"/>
      <c r="B54" s="12" t="n"/>
      <c r="C54" s="11">
        <f>IFERROR(VLOOKUP($B54,'Rate Card'!$A$5:$C$22,2,FALSE),"")</f>
        <v/>
      </c>
      <c r="D54" s="12" t="n"/>
      <c r="E54" s="6" t="n"/>
      <c r="F54" s="11">
        <f>IFERROR(VLOOKUP($B54,'Rate Card'!$A$5:$C$22,3,FALSE),"")</f>
        <v/>
      </c>
      <c r="G54" s="13">
        <f>IFERROR(VLOOKUP($B54,'Rate Card'!$A$5:$G$22,MATCH($D54,'Rate Card'!$D$4:$G$4,0)+3,FALSE),"")</f>
        <v/>
      </c>
      <c r="H54" s="12" t="n"/>
      <c r="I54" s="13">
        <f>IFERROR(IF(VLOOKUP($B54,'Rate Card'!$A$33:$F$50,6,FALSE)=0,1,VLOOKUP($H54,'Rate Card'!$A$26:$D$29,2,FALSE)),"")</f>
        <v/>
      </c>
      <c r="J54" s="6" t="n"/>
      <c r="K54" s="13">
        <f>IFERROR(IF(VLOOKUP($H54,'Rate Card'!$A$26:$D$29,3,FALSE)&lt;VLOOKUP($B54,'Rate Card'!$A$33:$F$50,4,FALSE),1+VLOOKUP($B54,'Rate Card'!$A$33:$F$50,5,FALSE),1),"")</f>
        <v/>
      </c>
      <c r="L54" s="13">
        <f>IFERROR($E54*$G54*$I54*$J54*$K54,"")</f>
        <v/>
      </c>
      <c r="M54" s="12" t="n"/>
    </row>
    <row r="55">
      <c r="A55" s="12" t="n"/>
      <c r="B55" s="12" t="n"/>
      <c r="C55" s="11">
        <f>IFERROR(VLOOKUP($B55,'Rate Card'!$A$5:$C$22,2,FALSE),"")</f>
        <v/>
      </c>
      <c r="D55" s="12" t="n"/>
      <c r="E55" s="6" t="n"/>
      <c r="F55" s="11">
        <f>IFERROR(VLOOKUP($B55,'Rate Card'!$A$5:$C$22,3,FALSE),"")</f>
        <v/>
      </c>
      <c r="G55" s="13">
        <f>IFERROR(VLOOKUP($B55,'Rate Card'!$A$5:$G$22,MATCH($D55,'Rate Card'!$D$4:$G$4,0)+3,FALSE),"")</f>
        <v/>
      </c>
      <c r="H55" s="12" t="n"/>
      <c r="I55" s="13">
        <f>IFERROR(IF(VLOOKUP($B55,'Rate Card'!$A$33:$F$50,6,FALSE)=0,1,VLOOKUP($H55,'Rate Card'!$A$26:$D$29,2,FALSE)),"")</f>
        <v/>
      </c>
      <c r="J55" s="6" t="n"/>
      <c r="K55" s="13">
        <f>IFERROR(IF(VLOOKUP($H55,'Rate Card'!$A$26:$D$29,3,FALSE)&lt;VLOOKUP($B55,'Rate Card'!$A$33:$F$50,4,FALSE),1+VLOOKUP($B55,'Rate Card'!$A$33:$F$50,5,FALSE),1),"")</f>
        <v/>
      </c>
      <c r="L55" s="13">
        <f>IFERROR($E55*$G55*$I55*$J55*$K55,"")</f>
        <v/>
      </c>
      <c r="M55" s="12" t="n"/>
    </row>
    <row r="56">
      <c r="A56" s="12" t="n"/>
      <c r="B56" s="12" t="n"/>
      <c r="C56" s="11">
        <f>IFERROR(VLOOKUP($B56,'Rate Card'!$A$5:$C$22,2,FALSE),"")</f>
        <v/>
      </c>
      <c r="D56" s="12" t="n"/>
      <c r="E56" s="6" t="n"/>
      <c r="F56" s="11">
        <f>IFERROR(VLOOKUP($B56,'Rate Card'!$A$5:$C$22,3,FALSE),"")</f>
        <v/>
      </c>
      <c r="G56" s="13">
        <f>IFERROR(VLOOKUP($B56,'Rate Card'!$A$5:$G$22,MATCH($D56,'Rate Card'!$D$4:$G$4,0)+3,FALSE),"")</f>
        <v/>
      </c>
      <c r="H56" s="12" t="n"/>
      <c r="I56" s="13">
        <f>IFERROR(IF(VLOOKUP($B56,'Rate Card'!$A$33:$F$50,6,FALSE)=0,1,VLOOKUP($H56,'Rate Card'!$A$26:$D$29,2,FALSE)),"")</f>
        <v/>
      </c>
      <c r="J56" s="6" t="n"/>
      <c r="K56" s="13">
        <f>IFERROR(IF(VLOOKUP($H56,'Rate Card'!$A$26:$D$29,3,FALSE)&lt;VLOOKUP($B56,'Rate Card'!$A$33:$F$50,4,FALSE),1+VLOOKUP($B56,'Rate Card'!$A$33:$F$50,5,FALSE),1),"")</f>
        <v/>
      </c>
      <c r="L56" s="13">
        <f>IFERROR($E56*$G56*$I56*$J56*$K56,"")</f>
        <v/>
      </c>
      <c r="M56" s="12" t="n"/>
    </row>
    <row r="57">
      <c r="A57" s="12" t="n"/>
      <c r="B57" s="12" t="n"/>
      <c r="C57" s="11">
        <f>IFERROR(VLOOKUP($B57,'Rate Card'!$A$5:$C$22,2,FALSE),"")</f>
        <v/>
      </c>
      <c r="D57" s="12" t="n"/>
      <c r="E57" s="6" t="n"/>
      <c r="F57" s="11">
        <f>IFERROR(VLOOKUP($B57,'Rate Card'!$A$5:$C$22,3,FALSE),"")</f>
        <v/>
      </c>
      <c r="G57" s="13">
        <f>IFERROR(VLOOKUP($B57,'Rate Card'!$A$5:$G$22,MATCH($D57,'Rate Card'!$D$4:$G$4,0)+3,FALSE),"")</f>
        <v/>
      </c>
      <c r="H57" s="12" t="n"/>
      <c r="I57" s="13">
        <f>IFERROR(IF(VLOOKUP($B57,'Rate Card'!$A$33:$F$50,6,FALSE)=0,1,VLOOKUP($H57,'Rate Card'!$A$26:$D$29,2,FALSE)),"")</f>
        <v/>
      </c>
      <c r="J57" s="6" t="n"/>
      <c r="K57" s="13">
        <f>IFERROR(IF(VLOOKUP($H57,'Rate Card'!$A$26:$D$29,3,FALSE)&lt;VLOOKUP($B57,'Rate Card'!$A$33:$F$50,4,FALSE),1+VLOOKUP($B57,'Rate Card'!$A$33:$F$50,5,FALSE),1),"")</f>
        <v/>
      </c>
      <c r="L57" s="13">
        <f>IFERROR($E57*$G57*$I57*$J57*$K57,"")</f>
        <v/>
      </c>
      <c r="M57" s="12" t="n"/>
    </row>
    <row r="58">
      <c r="A58" s="12" t="n"/>
      <c r="B58" s="12" t="n"/>
      <c r="C58" s="11">
        <f>IFERROR(VLOOKUP($B58,'Rate Card'!$A$5:$C$22,2,FALSE),"")</f>
        <v/>
      </c>
      <c r="D58" s="12" t="n"/>
      <c r="E58" s="6" t="n"/>
      <c r="F58" s="11">
        <f>IFERROR(VLOOKUP($B58,'Rate Card'!$A$5:$C$22,3,FALSE),"")</f>
        <v/>
      </c>
      <c r="G58" s="13">
        <f>IFERROR(VLOOKUP($B58,'Rate Card'!$A$5:$G$22,MATCH($D58,'Rate Card'!$D$4:$G$4,0)+3,FALSE),"")</f>
        <v/>
      </c>
      <c r="H58" s="12" t="n"/>
      <c r="I58" s="13">
        <f>IFERROR(IF(VLOOKUP($B58,'Rate Card'!$A$33:$F$50,6,FALSE)=0,1,VLOOKUP($H58,'Rate Card'!$A$26:$D$29,2,FALSE)),"")</f>
        <v/>
      </c>
      <c r="J58" s="6" t="n"/>
      <c r="K58" s="13">
        <f>IFERROR(IF(VLOOKUP($H58,'Rate Card'!$A$26:$D$29,3,FALSE)&lt;VLOOKUP($B58,'Rate Card'!$A$33:$F$50,4,FALSE),1+VLOOKUP($B58,'Rate Card'!$A$33:$F$50,5,FALSE),1),"")</f>
        <v/>
      </c>
      <c r="L58" s="13">
        <f>IFERROR($E58*$G58*$I58*$J58*$K58,"")</f>
        <v/>
      </c>
      <c r="M58" s="12" t="n"/>
    </row>
    <row r="59">
      <c r="A59" s="12" t="n"/>
      <c r="B59" s="12" t="n"/>
      <c r="C59" s="11">
        <f>IFERROR(VLOOKUP($B59,'Rate Card'!$A$5:$C$22,2,FALSE),"")</f>
        <v/>
      </c>
      <c r="D59" s="12" t="n"/>
      <c r="E59" s="6" t="n"/>
      <c r="F59" s="11">
        <f>IFERROR(VLOOKUP($B59,'Rate Card'!$A$5:$C$22,3,FALSE),"")</f>
        <v/>
      </c>
      <c r="G59" s="13">
        <f>IFERROR(VLOOKUP($B59,'Rate Card'!$A$5:$G$22,MATCH($D59,'Rate Card'!$D$4:$G$4,0)+3,FALSE),"")</f>
        <v/>
      </c>
      <c r="H59" s="12" t="n"/>
      <c r="I59" s="13">
        <f>IFERROR(IF(VLOOKUP($B59,'Rate Card'!$A$33:$F$50,6,FALSE)=0,1,VLOOKUP($H59,'Rate Card'!$A$26:$D$29,2,FALSE)),"")</f>
        <v/>
      </c>
      <c r="J59" s="6" t="n"/>
      <c r="K59" s="13">
        <f>IFERROR(IF(VLOOKUP($H59,'Rate Card'!$A$26:$D$29,3,FALSE)&lt;VLOOKUP($B59,'Rate Card'!$A$33:$F$50,4,FALSE),1+VLOOKUP($B59,'Rate Card'!$A$33:$F$50,5,FALSE),1),"")</f>
        <v/>
      </c>
      <c r="L59" s="13">
        <f>IFERROR($E59*$G59*$I59*$J59*$K59,"")</f>
        <v/>
      </c>
      <c r="M59" s="12" t="n"/>
    </row>
    <row r="60">
      <c r="A60" s="12" t="n"/>
      <c r="B60" s="12" t="n"/>
      <c r="C60" s="11">
        <f>IFERROR(VLOOKUP($B60,'Rate Card'!$A$5:$C$22,2,FALSE),"")</f>
        <v/>
      </c>
      <c r="D60" s="12" t="n"/>
      <c r="E60" s="6" t="n"/>
      <c r="F60" s="11">
        <f>IFERROR(VLOOKUP($B60,'Rate Card'!$A$5:$C$22,3,FALSE),"")</f>
        <v/>
      </c>
      <c r="G60" s="13">
        <f>IFERROR(VLOOKUP($B60,'Rate Card'!$A$5:$G$22,MATCH($D60,'Rate Card'!$D$4:$G$4,0)+3,FALSE),"")</f>
        <v/>
      </c>
      <c r="H60" s="12" t="n"/>
      <c r="I60" s="13">
        <f>IFERROR(IF(VLOOKUP($B60,'Rate Card'!$A$33:$F$50,6,FALSE)=0,1,VLOOKUP($H60,'Rate Card'!$A$26:$D$29,2,FALSE)),"")</f>
        <v/>
      </c>
      <c r="J60" s="6" t="n"/>
      <c r="K60" s="13">
        <f>IFERROR(IF(VLOOKUP($H60,'Rate Card'!$A$26:$D$29,3,FALSE)&lt;VLOOKUP($B60,'Rate Card'!$A$33:$F$50,4,FALSE),1+VLOOKUP($B60,'Rate Card'!$A$33:$F$50,5,FALSE),1),"")</f>
        <v/>
      </c>
      <c r="L60" s="13">
        <f>IFERROR($E60*$G60*$I60*$J60*$K60,"")</f>
        <v/>
      </c>
      <c r="M60" s="12" t="n"/>
    </row>
    <row r="61">
      <c r="A61" s="12" t="n"/>
      <c r="B61" s="12" t="n"/>
      <c r="C61" s="11">
        <f>IFERROR(VLOOKUP($B61,'Rate Card'!$A$5:$C$22,2,FALSE),"")</f>
        <v/>
      </c>
      <c r="D61" s="12" t="n"/>
      <c r="E61" s="6" t="n"/>
      <c r="F61" s="11">
        <f>IFERROR(VLOOKUP($B61,'Rate Card'!$A$5:$C$22,3,FALSE),"")</f>
        <v/>
      </c>
      <c r="G61" s="13">
        <f>IFERROR(VLOOKUP($B61,'Rate Card'!$A$5:$G$22,MATCH($D61,'Rate Card'!$D$4:$G$4,0)+3,FALSE),"")</f>
        <v/>
      </c>
      <c r="H61" s="12" t="n"/>
      <c r="I61" s="13">
        <f>IFERROR(IF(VLOOKUP($B61,'Rate Card'!$A$33:$F$50,6,FALSE)=0,1,VLOOKUP($H61,'Rate Card'!$A$26:$D$29,2,FALSE)),"")</f>
        <v/>
      </c>
      <c r="J61" s="6" t="n"/>
      <c r="K61" s="13">
        <f>IFERROR(IF(VLOOKUP($H61,'Rate Card'!$A$26:$D$29,3,FALSE)&lt;VLOOKUP($B61,'Rate Card'!$A$33:$F$50,4,FALSE),1+VLOOKUP($B61,'Rate Card'!$A$33:$F$50,5,FALSE),1),"")</f>
        <v/>
      </c>
      <c r="L61" s="13">
        <f>IFERROR($E61*$G61*$I61*$J61*$K61,"")</f>
        <v/>
      </c>
      <c r="M61" s="12" t="n"/>
    </row>
    <row r="62">
      <c r="A62" s="12" t="n"/>
      <c r="B62" s="12" t="n"/>
      <c r="C62" s="11">
        <f>IFERROR(VLOOKUP($B62,'Rate Card'!$A$5:$C$22,2,FALSE),"")</f>
        <v/>
      </c>
      <c r="D62" s="12" t="n"/>
      <c r="E62" s="6" t="n"/>
      <c r="F62" s="11">
        <f>IFERROR(VLOOKUP($B62,'Rate Card'!$A$5:$C$22,3,FALSE),"")</f>
        <v/>
      </c>
      <c r="G62" s="13">
        <f>IFERROR(VLOOKUP($B62,'Rate Card'!$A$5:$G$22,MATCH($D62,'Rate Card'!$D$4:$G$4,0)+3,FALSE),"")</f>
        <v/>
      </c>
      <c r="H62" s="12" t="n"/>
      <c r="I62" s="13">
        <f>IFERROR(IF(VLOOKUP($B62,'Rate Card'!$A$33:$F$50,6,FALSE)=0,1,VLOOKUP($H62,'Rate Card'!$A$26:$D$29,2,FALSE)),"")</f>
        <v/>
      </c>
      <c r="J62" s="6" t="n"/>
      <c r="K62" s="13">
        <f>IFERROR(IF(VLOOKUP($H62,'Rate Card'!$A$26:$D$29,3,FALSE)&lt;VLOOKUP($B62,'Rate Card'!$A$33:$F$50,4,FALSE),1+VLOOKUP($B62,'Rate Card'!$A$33:$F$50,5,FALSE),1),"")</f>
        <v/>
      </c>
      <c r="L62" s="13">
        <f>IFERROR($E62*$G62*$I62*$J62*$K62,"")</f>
        <v/>
      </c>
      <c r="M62" s="12" t="n"/>
    </row>
    <row r="63">
      <c r="A63" s="12" t="n"/>
      <c r="B63" s="12" t="n"/>
      <c r="C63" s="11">
        <f>IFERROR(VLOOKUP($B63,'Rate Card'!$A$5:$C$22,2,FALSE),"")</f>
        <v/>
      </c>
      <c r="D63" s="12" t="n"/>
      <c r="E63" s="6" t="n"/>
      <c r="F63" s="11">
        <f>IFERROR(VLOOKUP($B63,'Rate Card'!$A$5:$C$22,3,FALSE),"")</f>
        <v/>
      </c>
      <c r="G63" s="13">
        <f>IFERROR(VLOOKUP($B63,'Rate Card'!$A$5:$G$22,MATCH($D63,'Rate Card'!$D$4:$G$4,0)+3,FALSE),"")</f>
        <v/>
      </c>
      <c r="H63" s="12" t="n"/>
      <c r="I63" s="13">
        <f>IFERROR(IF(VLOOKUP($B63,'Rate Card'!$A$33:$F$50,6,FALSE)=0,1,VLOOKUP($H63,'Rate Card'!$A$26:$D$29,2,FALSE)),"")</f>
        <v/>
      </c>
      <c r="J63" s="6" t="n"/>
      <c r="K63" s="13">
        <f>IFERROR(IF(VLOOKUP($H63,'Rate Card'!$A$26:$D$29,3,FALSE)&lt;VLOOKUP($B63,'Rate Card'!$A$33:$F$50,4,FALSE),1+VLOOKUP($B63,'Rate Card'!$A$33:$F$50,5,FALSE),1),"")</f>
        <v/>
      </c>
      <c r="L63" s="13">
        <f>IFERROR($E63*$G63*$I63*$J63*$K63,"")</f>
        <v/>
      </c>
      <c r="M63" s="12" t="n"/>
    </row>
    <row r="64">
      <c r="A64" s="12" t="n"/>
      <c r="B64" s="12" t="n"/>
      <c r="C64" s="11">
        <f>IFERROR(VLOOKUP($B64,'Rate Card'!$A$5:$C$22,2,FALSE),"")</f>
        <v/>
      </c>
      <c r="D64" s="12" t="n"/>
      <c r="E64" s="6" t="n"/>
      <c r="F64" s="11">
        <f>IFERROR(VLOOKUP($B64,'Rate Card'!$A$5:$C$22,3,FALSE),"")</f>
        <v/>
      </c>
      <c r="G64" s="13">
        <f>IFERROR(VLOOKUP($B64,'Rate Card'!$A$5:$G$22,MATCH($D64,'Rate Card'!$D$4:$G$4,0)+3,FALSE),"")</f>
        <v/>
      </c>
      <c r="H64" s="12" t="n"/>
      <c r="I64" s="13">
        <f>IFERROR(IF(VLOOKUP($B64,'Rate Card'!$A$33:$F$50,6,FALSE)=0,1,VLOOKUP($H64,'Rate Card'!$A$26:$D$29,2,FALSE)),"")</f>
        <v/>
      </c>
      <c r="J64" s="6" t="n"/>
      <c r="K64" s="13">
        <f>IFERROR(IF(VLOOKUP($H64,'Rate Card'!$A$26:$D$29,3,FALSE)&lt;VLOOKUP($B64,'Rate Card'!$A$33:$F$50,4,FALSE),1+VLOOKUP($B64,'Rate Card'!$A$33:$F$50,5,FALSE),1),"")</f>
        <v/>
      </c>
      <c r="L64" s="13">
        <f>IFERROR($E64*$G64*$I64*$J64*$K64,"")</f>
        <v/>
      </c>
      <c r="M64" s="12" t="n"/>
    </row>
    <row r="65">
      <c r="A65" s="12" t="n"/>
      <c r="B65" s="12" t="n"/>
      <c r="C65" s="11">
        <f>IFERROR(VLOOKUP($B65,'Rate Card'!$A$5:$C$22,2,FALSE),"")</f>
        <v/>
      </c>
      <c r="D65" s="12" t="n"/>
      <c r="E65" s="6" t="n"/>
      <c r="F65" s="11">
        <f>IFERROR(VLOOKUP($B65,'Rate Card'!$A$5:$C$22,3,FALSE),"")</f>
        <v/>
      </c>
      <c r="G65" s="13">
        <f>IFERROR(VLOOKUP($B65,'Rate Card'!$A$5:$G$22,MATCH($D65,'Rate Card'!$D$4:$G$4,0)+3,FALSE),"")</f>
        <v/>
      </c>
      <c r="H65" s="12" t="n"/>
      <c r="I65" s="13">
        <f>IFERROR(IF(VLOOKUP($B65,'Rate Card'!$A$33:$F$50,6,FALSE)=0,1,VLOOKUP($H65,'Rate Card'!$A$26:$D$29,2,FALSE)),"")</f>
        <v/>
      </c>
      <c r="J65" s="6" t="n"/>
      <c r="K65" s="13">
        <f>IFERROR(IF(VLOOKUP($H65,'Rate Card'!$A$26:$D$29,3,FALSE)&lt;VLOOKUP($B65,'Rate Card'!$A$33:$F$50,4,FALSE),1+VLOOKUP($B65,'Rate Card'!$A$33:$F$50,5,FALSE),1),"")</f>
        <v/>
      </c>
      <c r="L65" s="13">
        <f>IFERROR($E65*$G65*$I65*$J65*$K65,"")</f>
        <v/>
      </c>
      <c r="M65" s="12" t="n"/>
    </row>
    <row r="66">
      <c r="A66" s="12" t="n"/>
      <c r="B66" s="12" t="n"/>
      <c r="C66" s="11">
        <f>IFERROR(VLOOKUP($B66,'Rate Card'!$A$5:$C$22,2,FALSE),"")</f>
        <v/>
      </c>
      <c r="D66" s="12" t="n"/>
      <c r="E66" s="6" t="n"/>
      <c r="F66" s="11">
        <f>IFERROR(VLOOKUP($B66,'Rate Card'!$A$5:$C$22,3,FALSE),"")</f>
        <v/>
      </c>
      <c r="G66" s="13">
        <f>IFERROR(VLOOKUP($B66,'Rate Card'!$A$5:$G$22,MATCH($D66,'Rate Card'!$D$4:$G$4,0)+3,FALSE),"")</f>
        <v/>
      </c>
      <c r="H66" s="12" t="n"/>
      <c r="I66" s="13">
        <f>IFERROR(IF(VLOOKUP($B66,'Rate Card'!$A$33:$F$50,6,FALSE)=0,1,VLOOKUP($H66,'Rate Card'!$A$26:$D$29,2,FALSE)),"")</f>
        <v/>
      </c>
      <c r="J66" s="6" t="n"/>
      <c r="K66" s="13">
        <f>IFERROR(IF(VLOOKUP($H66,'Rate Card'!$A$26:$D$29,3,FALSE)&lt;VLOOKUP($B66,'Rate Card'!$A$33:$F$50,4,FALSE),1+VLOOKUP($B66,'Rate Card'!$A$33:$F$50,5,FALSE),1),"")</f>
        <v/>
      </c>
      <c r="L66" s="13">
        <f>IFERROR($E66*$G66*$I66*$J66*$K66,"")</f>
        <v/>
      </c>
      <c r="M66" s="12" t="n"/>
    </row>
    <row r="67">
      <c r="A67" s="12" t="n"/>
      <c r="B67" s="12" t="n"/>
      <c r="C67" s="11">
        <f>IFERROR(VLOOKUP($B67,'Rate Card'!$A$5:$C$22,2,FALSE),"")</f>
        <v/>
      </c>
      <c r="D67" s="12" t="n"/>
      <c r="E67" s="6" t="n"/>
      <c r="F67" s="11">
        <f>IFERROR(VLOOKUP($B67,'Rate Card'!$A$5:$C$22,3,FALSE),"")</f>
        <v/>
      </c>
      <c r="G67" s="13">
        <f>IFERROR(VLOOKUP($B67,'Rate Card'!$A$5:$G$22,MATCH($D67,'Rate Card'!$D$4:$G$4,0)+3,FALSE),"")</f>
        <v/>
      </c>
      <c r="H67" s="12" t="n"/>
      <c r="I67" s="13">
        <f>IFERROR(IF(VLOOKUP($B67,'Rate Card'!$A$33:$F$50,6,FALSE)=0,1,VLOOKUP($H67,'Rate Card'!$A$26:$D$29,2,FALSE)),"")</f>
        <v/>
      </c>
      <c r="J67" s="6" t="n"/>
      <c r="K67" s="13">
        <f>IFERROR(IF(VLOOKUP($H67,'Rate Card'!$A$26:$D$29,3,FALSE)&lt;VLOOKUP($B67,'Rate Card'!$A$33:$F$50,4,FALSE),1+VLOOKUP($B67,'Rate Card'!$A$33:$F$50,5,FALSE),1),"")</f>
        <v/>
      </c>
      <c r="L67" s="13">
        <f>IFERROR($E67*$G67*$I67*$J67*$K67,"")</f>
        <v/>
      </c>
      <c r="M67" s="12" t="n"/>
    </row>
    <row r="68">
      <c r="A68" s="12" t="n"/>
      <c r="B68" s="12" t="n"/>
      <c r="C68" s="11">
        <f>IFERROR(VLOOKUP($B68,'Rate Card'!$A$5:$C$22,2,FALSE),"")</f>
        <v/>
      </c>
      <c r="D68" s="12" t="n"/>
      <c r="E68" s="6" t="n"/>
      <c r="F68" s="11">
        <f>IFERROR(VLOOKUP($B68,'Rate Card'!$A$5:$C$22,3,FALSE),"")</f>
        <v/>
      </c>
      <c r="G68" s="13">
        <f>IFERROR(VLOOKUP($B68,'Rate Card'!$A$5:$G$22,MATCH($D68,'Rate Card'!$D$4:$G$4,0)+3,FALSE),"")</f>
        <v/>
      </c>
      <c r="H68" s="12" t="n"/>
      <c r="I68" s="13">
        <f>IFERROR(IF(VLOOKUP($B68,'Rate Card'!$A$33:$F$50,6,FALSE)=0,1,VLOOKUP($H68,'Rate Card'!$A$26:$D$29,2,FALSE)),"")</f>
        <v/>
      </c>
      <c r="J68" s="6" t="n"/>
      <c r="K68" s="13">
        <f>IFERROR(IF(VLOOKUP($H68,'Rate Card'!$A$26:$D$29,3,FALSE)&lt;VLOOKUP($B68,'Rate Card'!$A$33:$F$50,4,FALSE),1+VLOOKUP($B68,'Rate Card'!$A$33:$F$50,5,FALSE),1),"")</f>
        <v/>
      </c>
      <c r="L68" s="13">
        <f>IFERROR($E68*$G68*$I68*$J68*$K68,"")</f>
        <v/>
      </c>
      <c r="M68" s="12" t="n"/>
    </row>
    <row r="69">
      <c r="A69" s="12" t="n"/>
      <c r="B69" s="12" t="n"/>
      <c r="C69" s="11">
        <f>IFERROR(VLOOKUP($B69,'Rate Card'!$A$5:$C$22,2,FALSE),"")</f>
        <v/>
      </c>
      <c r="D69" s="12" t="n"/>
      <c r="E69" s="6" t="n"/>
      <c r="F69" s="11">
        <f>IFERROR(VLOOKUP($B69,'Rate Card'!$A$5:$C$22,3,FALSE),"")</f>
        <v/>
      </c>
      <c r="G69" s="13">
        <f>IFERROR(VLOOKUP($B69,'Rate Card'!$A$5:$G$22,MATCH($D69,'Rate Card'!$D$4:$G$4,0)+3,FALSE),"")</f>
        <v/>
      </c>
      <c r="H69" s="12" t="n"/>
      <c r="I69" s="13">
        <f>IFERROR(IF(VLOOKUP($B69,'Rate Card'!$A$33:$F$50,6,FALSE)=0,1,VLOOKUP($H69,'Rate Card'!$A$26:$D$29,2,FALSE)),"")</f>
        <v/>
      </c>
      <c r="J69" s="6" t="n"/>
      <c r="K69" s="13">
        <f>IFERROR(IF(VLOOKUP($H69,'Rate Card'!$A$26:$D$29,3,FALSE)&lt;VLOOKUP($B69,'Rate Card'!$A$33:$F$50,4,FALSE),1+VLOOKUP($B69,'Rate Card'!$A$33:$F$50,5,FALSE),1),"")</f>
        <v/>
      </c>
      <c r="L69" s="13">
        <f>IFERROR($E69*$G69*$I69*$J69*$K69,"")</f>
        <v/>
      </c>
      <c r="M69" s="12" t="n"/>
    </row>
    <row r="70">
      <c r="A70" s="12" t="n"/>
      <c r="B70" s="12" t="n"/>
      <c r="C70" s="11">
        <f>IFERROR(VLOOKUP($B70,'Rate Card'!$A$5:$C$22,2,FALSE),"")</f>
        <v/>
      </c>
      <c r="D70" s="12" t="n"/>
      <c r="E70" s="6" t="n"/>
      <c r="F70" s="11">
        <f>IFERROR(VLOOKUP($B70,'Rate Card'!$A$5:$C$22,3,FALSE),"")</f>
        <v/>
      </c>
      <c r="G70" s="13">
        <f>IFERROR(VLOOKUP($B70,'Rate Card'!$A$5:$G$22,MATCH($D70,'Rate Card'!$D$4:$G$4,0)+3,FALSE),"")</f>
        <v/>
      </c>
      <c r="H70" s="12" t="n"/>
      <c r="I70" s="13">
        <f>IFERROR(IF(VLOOKUP($B70,'Rate Card'!$A$33:$F$50,6,FALSE)=0,1,VLOOKUP($H70,'Rate Card'!$A$26:$D$29,2,FALSE)),"")</f>
        <v/>
      </c>
      <c r="J70" s="6" t="n"/>
      <c r="K70" s="13">
        <f>IFERROR(IF(VLOOKUP($H70,'Rate Card'!$A$26:$D$29,3,FALSE)&lt;VLOOKUP($B70,'Rate Card'!$A$33:$F$50,4,FALSE),1+VLOOKUP($B70,'Rate Card'!$A$33:$F$50,5,FALSE),1),"")</f>
        <v/>
      </c>
      <c r="L70" s="13">
        <f>IFERROR($E70*$G70*$I70*$J70*$K70,"")</f>
        <v/>
      </c>
      <c r="M70" s="12" t="n"/>
    </row>
    <row r="71">
      <c r="A71" s="12" t="n"/>
      <c r="B71" s="12" t="n"/>
      <c r="C71" s="11">
        <f>IFERROR(VLOOKUP($B71,'Rate Card'!$A$5:$C$22,2,FALSE),"")</f>
        <v/>
      </c>
      <c r="D71" s="12" t="n"/>
      <c r="E71" s="6" t="n"/>
      <c r="F71" s="11">
        <f>IFERROR(VLOOKUP($B71,'Rate Card'!$A$5:$C$22,3,FALSE),"")</f>
        <v/>
      </c>
      <c r="G71" s="13">
        <f>IFERROR(VLOOKUP($B71,'Rate Card'!$A$5:$G$22,MATCH($D71,'Rate Card'!$D$4:$G$4,0)+3,FALSE),"")</f>
        <v/>
      </c>
      <c r="H71" s="12" t="n"/>
      <c r="I71" s="13">
        <f>IFERROR(IF(VLOOKUP($B71,'Rate Card'!$A$33:$F$50,6,FALSE)=0,1,VLOOKUP($H71,'Rate Card'!$A$26:$D$29,2,FALSE)),"")</f>
        <v/>
      </c>
      <c r="J71" s="6" t="n"/>
      <c r="K71" s="13">
        <f>IFERROR(IF(VLOOKUP($H71,'Rate Card'!$A$26:$D$29,3,FALSE)&lt;VLOOKUP($B71,'Rate Card'!$A$33:$F$50,4,FALSE),1+VLOOKUP($B71,'Rate Card'!$A$33:$F$50,5,FALSE),1),"")</f>
        <v/>
      </c>
      <c r="L71" s="13">
        <f>IFERROR($E71*$G71*$I71*$J71*$K71,"")</f>
        <v/>
      </c>
      <c r="M71" s="12" t="n"/>
    </row>
    <row r="72">
      <c r="A72" s="12" t="n"/>
      <c r="B72" s="12" t="n"/>
      <c r="C72" s="11">
        <f>IFERROR(VLOOKUP($B72,'Rate Card'!$A$5:$C$22,2,FALSE),"")</f>
        <v/>
      </c>
      <c r="D72" s="12" t="n"/>
      <c r="E72" s="6" t="n"/>
      <c r="F72" s="11">
        <f>IFERROR(VLOOKUP($B72,'Rate Card'!$A$5:$C$22,3,FALSE),"")</f>
        <v/>
      </c>
      <c r="G72" s="13">
        <f>IFERROR(VLOOKUP($B72,'Rate Card'!$A$5:$G$22,MATCH($D72,'Rate Card'!$D$4:$G$4,0)+3,FALSE),"")</f>
        <v/>
      </c>
      <c r="H72" s="12" t="n"/>
      <c r="I72" s="13">
        <f>IFERROR(IF(VLOOKUP($B72,'Rate Card'!$A$33:$F$50,6,FALSE)=0,1,VLOOKUP($H72,'Rate Card'!$A$26:$D$29,2,FALSE)),"")</f>
        <v/>
      </c>
      <c r="J72" s="6" t="n"/>
      <c r="K72" s="13">
        <f>IFERROR(IF(VLOOKUP($H72,'Rate Card'!$A$26:$D$29,3,FALSE)&lt;VLOOKUP($B72,'Rate Card'!$A$33:$F$50,4,FALSE),1+VLOOKUP($B72,'Rate Card'!$A$33:$F$50,5,FALSE),1),"")</f>
        <v/>
      </c>
      <c r="L72" s="13">
        <f>IFERROR($E72*$G72*$I72*$J72*$K72,"")</f>
        <v/>
      </c>
      <c r="M72" s="12" t="n"/>
    </row>
    <row r="73">
      <c r="A73" s="12" t="n"/>
      <c r="B73" s="12" t="n"/>
      <c r="C73" s="11">
        <f>IFERROR(VLOOKUP($B73,'Rate Card'!$A$5:$C$22,2,FALSE),"")</f>
        <v/>
      </c>
      <c r="D73" s="12" t="n"/>
      <c r="E73" s="6" t="n"/>
      <c r="F73" s="11">
        <f>IFERROR(VLOOKUP($B73,'Rate Card'!$A$5:$C$22,3,FALSE),"")</f>
        <v/>
      </c>
      <c r="G73" s="13">
        <f>IFERROR(VLOOKUP($B73,'Rate Card'!$A$5:$G$22,MATCH($D73,'Rate Card'!$D$4:$G$4,0)+3,FALSE),"")</f>
        <v/>
      </c>
      <c r="H73" s="12" t="n"/>
      <c r="I73" s="13">
        <f>IFERROR(IF(VLOOKUP($B73,'Rate Card'!$A$33:$F$50,6,FALSE)=0,1,VLOOKUP($H73,'Rate Card'!$A$26:$D$29,2,FALSE)),"")</f>
        <v/>
      </c>
      <c r="J73" s="6" t="n"/>
      <c r="K73" s="13">
        <f>IFERROR(IF(VLOOKUP($H73,'Rate Card'!$A$26:$D$29,3,FALSE)&lt;VLOOKUP($B73,'Rate Card'!$A$33:$F$50,4,FALSE),1+VLOOKUP($B73,'Rate Card'!$A$33:$F$50,5,FALSE),1),"")</f>
        <v/>
      </c>
      <c r="L73" s="13">
        <f>IFERROR($E73*$G73*$I73*$J73*$K73,"")</f>
        <v/>
      </c>
      <c r="M73" s="12" t="n"/>
    </row>
    <row r="74">
      <c r="A74" s="12" t="n"/>
      <c r="B74" s="12" t="n"/>
      <c r="C74" s="11">
        <f>IFERROR(VLOOKUP($B74,'Rate Card'!$A$5:$C$22,2,FALSE),"")</f>
        <v/>
      </c>
      <c r="D74" s="12" t="n"/>
      <c r="E74" s="6" t="n"/>
      <c r="F74" s="11">
        <f>IFERROR(VLOOKUP($B74,'Rate Card'!$A$5:$C$22,3,FALSE),"")</f>
        <v/>
      </c>
      <c r="G74" s="13">
        <f>IFERROR(VLOOKUP($B74,'Rate Card'!$A$5:$G$22,MATCH($D74,'Rate Card'!$D$4:$G$4,0)+3,FALSE),"")</f>
        <v/>
      </c>
      <c r="H74" s="12" t="n"/>
      <c r="I74" s="13">
        <f>IFERROR(IF(VLOOKUP($B74,'Rate Card'!$A$33:$F$50,6,FALSE)=0,1,VLOOKUP($H74,'Rate Card'!$A$26:$D$29,2,FALSE)),"")</f>
        <v/>
      </c>
      <c r="J74" s="6" t="n"/>
      <c r="K74" s="13">
        <f>IFERROR(IF(VLOOKUP($H74,'Rate Card'!$A$26:$D$29,3,FALSE)&lt;VLOOKUP($B74,'Rate Card'!$A$33:$F$50,4,FALSE),1+VLOOKUP($B74,'Rate Card'!$A$33:$F$50,5,FALSE),1),"")</f>
        <v/>
      </c>
      <c r="L74" s="13">
        <f>IFERROR($E74*$G74*$I74*$J74*$K74,"")</f>
        <v/>
      </c>
      <c r="M74" s="12" t="n"/>
    </row>
    <row r="75">
      <c r="A75" s="12" t="n"/>
      <c r="B75" s="12" t="n"/>
      <c r="C75" s="11">
        <f>IFERROR(VLOOKUP($B75,'Rate Card'!$A$5:$C$22,2,FALSE),"")</f>
        <v/>
      </c>
      <c r="D75" s="12" t="n"/>
      <c r="E75" s="6" t="n"/>
      <c r="F75" s="11">
        <f>IFERROR(VLOOKUP($B75,'Rate Card'!$A$5:$C$22,3,FALSE),"")</f>
        <v/>
      </c>
      <c r="G75" s="13">
        <f>IFERROR(VLOOKUP($B75,'Rate Card'!$A$5:$G$22,MATCH($D75,'Rate Card'!$D$4:$G$4,0)+3,FALSE),"")</f>
        <v/>
      </c>
      <c r="H75" s="12" t="n"/>
      <c r="I75" s="13">
        <f>IFERROR(IF(VLOOKUP($B75,'Rate Card'!$A$33:$F$50,6,FALSE)=0,1,VLOOKUP($H75,'Rate Card'!$A$26:$D$29,2,FALSE)),"")</f>
        <v/>
      </c>
      <c r="J75" s="6" t="n"/>
      <c r="K75" s="13">
        <f>IFERROR(IF(VLOOKUP($H75,'Rate Card'!$A$26:$D$29,3,FALSE)&lt;VLOOKUP($B75,'Rate Card'!$A$33:$F$50,4,FALSE),1+VLOOKUP($B75,'Rate Card'!$A$33:$F$50,5,FALSE),1),"")</f>
        <v/>
      </c>
      <c r="L75" s="13">
        <f>IFERROR($E75*$G75*$I75*$J75*$K75,"")</f>
        <v/>
      </c>
      <c r="M75" s="12" t="n"/>
    </row>
    <row r="76">
      <c r="A76" s="12" t="n"/>
      <c r="B76" s="12" t="n"/>
      <c r="C76" s="11">
        <f>IFERROR(VLOOKUP($B76,'Rate Card'!$A$5:$C$22,2,FALSE),"")</f>
        <v/>
      </c>
      <c r="D76" s="12" t="n"/>
      <c r="E76" s="6" t="n"/>
      <c r="F76" s="11">
        <f>IFERROR(VLOOKUP($B76,'Rate Card'!$A$5:$C$22,3,FALSE),"")</f>
        <v/>
      </c>
      <c r="G76" s="13">
        <f>IFERROR(VLOOKUP($B76,'Rate Card'!$A$5:$G$22,MATCH($D76,'Rate Card'!$D$4:$G$4,0)+3,FALSE),"")</f>
        <v/>
      </c>
      <c r="H76" s="12" t="n"/>
      <c r="I76" s="13">
        <f>IFERROR(IF(VLOOKUP($B76,'Rate Card'!$A$33:$F$50,6,FALSE)=0,1,VLOOKUP($H76,'Rate Card'!$A$26:$D$29,2,FALSE)),"")</f>
        <v/>
      </c>
      <c r="J76" s="6" t="n"/>
      <c r="K76" s="13">
        <f>IFERROR(IF(VLOOKUP($H76,'Rate Card'!$A$26:$D$29,3,FALSE)&lt;VLOOKUP($B76,'Rate Card'!$A$33:$F$50,4,FALSE),1+VLOOKUP($B76,'Rate Card'!$A$33:$F$50,5,FALSE),1),"")</f>
        <v/>
      </c>
      <c r="L76" s="13">
        <f>IFERROR($E76*$G76*$I76*$J76*$K76,"")</f>
        <v/>
      </c>
      <c r="M76" s="12" t="n"/>
    </row>
    <row r="77">
      <c r="A77" s="12" t="n"/>
      <c r="B77" s="12" t="n"/>
      <c r="C77" s="11">
        <f>IFERROR(VLOOKUP($B77,'Rate Card'!$A$5:$C$22,2,FALSE),"")</f>
        <v/>
      </c>
      <c r="D77" s="12" t="n"/>
      <c r="E77" s="6" t="n"/>
      <c r="F77" s="11">
        <f>IFERROR(VLOOKUP($B77,'Rate Card'!$A$5:$C$22,3,FALSE),"")</f>
        <v/>
      </c>
      <c r="G77" s="13">
        <f>IFERROR(VLOOKUP($B77,'Rate Card'!$A$5:$G$22,MATCH($D77,'Rate Card'!$D$4:$G$4,0)+3,FALSE),"")</f>
        <v/>
      </c>
      <c r="H77" s="12" t="n"/>
      <c r="I77" s="13">
        <f>IFERROR(IF(VLOOKUP($B77,'Rate Card'!$A$33:$F$50,6,FALSE)=0,1,VLOOKUP($H77,'Rate Card'!$A$26:$D$29,2,FALSE)),"")</f>
        <v/>
      </c>
      <c r="J77" s="6" t="n"/>
      <c r="K77" s="13">
        <f>IFERROR(IF(VLOOKUP($H77,'Rate Card'!$A$26:$D$29,3,FALSE)&lt;VLOOKUP($B77,'Rate Card'!$A$33:$F$50,4,FALSE),1+VLOOKUP($B77,'Rate Card'!$A$33:$F$50,5,FALSE),1),"")</f>
        <v/>
      </c>
      <c r="L77" s="13">
        <f>IFERROR($E77*$G77*$I77*$J77*$K77,"")</f>
        <v/>
      </c>
      <c r="M77" s="12" t="n"/>
    </row>
    <row r="78">
      <c r="A78" s="12" t="n"/>
      <c r="B78" s="12" t="n"/>
      <c r="C78" s="11">
        <f>IFERROR(VLOOKUP($B78,'Rate Card'!$A$5:$C$22,2,FALSE),"")</f>
        <v/>
      </c>
      <c r="D78" s="12" t="n"/>
      <c r="E78" s="6" t="n"/>
      <c r="F78" s="11">
        <f>IFERROR(VLOOKUP($B78,'Rate Card'!$A$5:$C$22,3,FALSE),"")</f>
        <v/>
      </c>
      <c r="G78" s="13">
        <f>IFERROR(VLOOKUP($B78,'Rate Card'!$A$5:$G$22,MATCH($D78,'Rate Card'!$D$4:$G$4,0)+3,FALSE),"")</f>
        <v/>
      </c>
      <c r="H78" s="12" t="n"/>
      <c r="I78" s="13">
        <f>IFERROR(IF(VLOOKUP($B78,'Rate Card'!$A$33:$F$50,6,FALSE)=0,1,VLOOKUP($H78,'Rate Card'!$A$26:$D$29,2,FALSE)),"")</f>
        <v/>
      </c>
      <c r="J78" s="6" t="n"/>
      <c r="K78" s="13">
        <f>IFERROR(IF(VLOOKUP($H78,'Rate Card'!$A$26:$D$29,3,FALSE)&lt;VLOOKUP($B78,'Rate Card'!$A$33:$F$50,4,FALSE),1+VLOOKUP($B78,'Rate Card'!$A$33:$F$50,5,FALSE),1),"")</f>
        <v/>
      </c>
      <c r="L78" s="13">
        <f>IFERROR($E78*$G78*$I78*$J78*$K78,"")</f>
        <v/>
      </c>
      <c r="M78" s="12" t="n"/>
    </row>
    <row r="79">
      <c r="A79" s="12" t="n"/>
      <c r="B79" s="12" t="n"/>
      <c r="C79" s="11">
        <f>IFERROR(VLOOKUP($B79,'Rate Card'!$A$5:$C$22,2,FALSE),"")</f>
        <v/>
      </c>
      <c r="D79" s="12" t="n"/>
      <c r="E79" s="6" t="n"/>
      <c r="F79" s="11">
        <f>IFERROR(VLOOKUP($B79,'Rate Card'!$A$5:$C$22,3,FALSE),"")</f>
        <v/>
      </c>
      <c r="G79" s="13">
        <f>IFERROR(VLOOKUP($B79,'Rate Card'!$A$5:$G$22,MATCH($D79,'Rate Card'!$D$4:$G$4,0)+3,FALSE),"")</f>
        <v/>
      </c>
      <c r="H79" s="12" t="n"/>
      <c r="I79" s="13">
        <f>IFERROR(IF(VLOOKUP($B79,'Rate Card'!$A$33:$F$50,6,FALSE)=0,1,VLOOKUP($H79,'Rate Card'!$A$26:$D$29,2,FALSE)),"")</f>
        <v/>
      </c>
      <c r="J79" s="6" t="n"/>
      <c r="K79" s="13">
        <f>IFERROR(IF(VLOOKUP($H79,'Rate Card'!$A$26:$D$29,3,FALSE)&lt;VLOOKUP($B79,'Rate Card'!$A$33:$F$50,4,FALSE),1+VLOOKUP($B79,'Rate Card'!$A$33:$F$50,5,FALSE),1),"")</f>
        <v/>
      </c>
      <c r="L79" s="13">
        <f>IFERROR($E79*$G79*$I79*$J79*$K79,"")</f>
        <v/>
      </c>
      <c r="M79" s="12" t="n"/>
    </row>
    <row r="80">
      <c r="A80" s="12" t="n"/>
      <c r="B80" s="12" t="n"/>
      <c r="C80" s="11">
        <f>IFERROR(VLOOKUP($B80,'Rate Card'!$A$5:$C$22,2,FALSE),"")</f>
        <v/>
      </c>
      <c r="D80" s="12" t="n"/>
      <c r="E80" s="6" t="n"/>
      <c r="F80" s="11">
        <f>IFERROR(VLOOKUP($B80,'Rate Card'!$A$5:$C$22,3,FALSE),"")</f>
        <v/>
      </c>
      <c r="G80" s="13">
        <f>IFERROR(VLOOKUP($B80,'Rate Card'!$A$5:$G$22,MATCH($D80,'Rate Card'!$D$4:$G$4,0)+3,FALSE),"")</f>
        <v/>
      </c>
      <c r="H80" s="12" t="n"/>
      <c r="I80" s="13">
        <f>IFERROR(IF(VLOOKUP($B80,'Rate Card'!$A$33:$F$50,6,FALSE)=0,1,VLOOKUP($H80,'Rate Card'!$A$26:$D$29,2,FALSE)),"")</f>
        <v/>
      </c>
      <c r="J80" s="6" t="n"/>
      <c r="K80" s="13">
        <f>IFERROR(IF(VLOOKUP($H80,'Rate Card'!$A$26:$D$29,3,FALSE)&lt;VLOOKUP($B80,'Rate Card'!$A$33:$F$50,4,FALSE),1+VLOOKUP($B80,'Rate Card'!$A$33:$F$50,5,FALSE),1),"")</f>
        <v/>
      </c>
      <c r="L80" s="13">
        <f>IFERROR($E80*$G80*$I80*$J80*$K80,"")</f>
        <v/>
      </c>
      <c r="M80" s="12" t="n"/>
    </row>
    <row r="81">
      <c r="A81" s="12" t="n"/>
      <c r="B81" s="12" t="n"/>
      <c r="C81" s="11">
        <f>IFERROR(VLOOKUP($B81,'Rate Card'!$A$5:$C$22,2,FALSE),"")</f>
        <v/>
      </c>
      <c r="D81" s="12" t="n"/>
      <c r="E81" s="6" t="n"/>
      <c r="F81" s="11">
        <f>IFERROR(VLOOKUP($B81,'Rate Card'!$A$5:$C$22,3,FALSE),"")</f>
        <v/>
      </c>
      <c r="G81" s="13">
        <f>IFERROR(VLOOKUP($B81,'Rate Card'!$A$5:$G$22,MATCH($D81,'Rate Card'!$D$4:$G$4,0)+3,FALSE),"")</f>
        <v/>
      </c>
      <c r="H81" s="12" t="n"/>
      <c r="I81" s="13">
        <f>IFERROR(IF(VLOOKUP($B81,'Rate Card'!$A$33:$F$50,6,FALSE)=0,1,VLOOKUP($H81,'Rate Card'!$A$26:$D$29,2,FALSE)),"")</f>
        <v/>
      </c>
      <c r="J81" s="6" t="n"/>
      <c r="K81" s="13">
        <f>IFERROR(IF(VLOOKUP($H81,'Rate Card'!$A$26:$D$29,3,FALSE)&lt;VLOOKUP($B81,'Rate Card'!$A$33:$F$50,4,FALSE),1+VLOOKUP($B81,'Rate Card'!$A$33:$F$50,5,FALSE),1),"")</f>
        <v/>
      </c>
      <c r="L81" s="13">
        <f>IFERROR($E81*$G81*$I81*$J81*$K81,"")</f>
        <v/>
      </c>
      <c r="M81" s="12" t="n"/>
    </row>
    <row r="82">
      <c r="A82" s="12" t="n"/>
      <c r="B82" s="12" t="n"/>
      <c r="C82" s="11">
        <f>IFERROR(VLOOKUP($B82,'Rate Card'!$A$5:$C$22,2,FALSE),"")</f>
        <v/>
      </c>
      <c r="D82" s="12" t="n"/>
      <c r="E82" s="6" t="n"/>
      <c r="F82" s="11">
        <f>IFERROR(VLOOKUP($B82,'Rate Card'!$A$5:$C$22,3,FALSE),"")</f>
        <v/>
      </c>
      <c r="G82" s="13">
        <f>IFERROR(VLOOKUP($B82,'Rate Card'!$A$5:$G$22,MATCH($D82,'Rate Card'!$D$4:$G$4,0)+3,FALSE),"")</f>
        <v/>
      </c>
      <c r="H82" s="12" t="n"/>
      <c r="I82" s="13">
        <f>IFERROR(IF(VLOOKUP($B82,'Rate Card'!$A$33:$F$50,6,FALSE)=0,1,VLOOKUP($H82,'Rate Card'!$A$26:$D$29,2,FALSE)),"")</f>
        <v/>
      </c>
      <c r="J82" s="6" t="n"/>
      <c r="K82" s="13">
        <f>IFERROR(IF(VLOOKUP($H82,'Rate Card'!$A$26:$D$29,3,FALSE)&lt;VLOOKUP($B82,'Rate Card'!$A$33:$F$50,4,FALSE),1+VLOOKUP($B82,'Rate Card'!$A$33:$F$50,5,FALSE),1),"")</f>
        <v/>
      </c>
      <c r="L82" s="13">
        <f>IFERROR($E82*$G82*$I82*$J82*$K82,"")</f>
        <v/>
      </c>
      <c r="M82" s="12" t="n"/>
    </row>
    <row r="83">
      <c r="A83" s="12" t="n"/>
      <c r="B83" s="12" t="n"/>
      <c r="C83" s="11">
        <f>IFERROR(VLOOKUP($B83,'Rate Card'!$A$5:$C$22,2,FALSE),"")</f>
        <v/>
      </c>
      <c r="D83" s="12" t="n"/>
      <c r="E83" s="6" t="n"/>
      <c r="F83" s="11">
        <f>IFERROR(VLOOKUP($B83,'Rate Card'!$A$5:$C$22,3,FALSE),"")</f>
        <v/>
      </c>
      <c r="G83" s="13">
        <f>IFERROR(VLOOKUP($B83,'Rate Card'!$A$5:$G$22,MATCH($D83,'Rate Card'!$D$4:$G$4,0)+3,FALSE),"")</f>
        <v/>
      </c>
      <c r="H83" s="12" t="n"/>
      <c r="I83" s="13">
        <f>IFERROR(IF(VLOOKUP($B83,'Rate Card'!$A$33:$F$50,6,FALSE)=0,1,VLOOKUP($H83,'Rate Card'!$A$26:$D$29,2,FALSE)),"")</f>
        <v/>
      </c>
      <c r="J83" s="6" t="n"/>
      <c r="K83" s="13">
        <f>IFERROR(IF(VLOOKUP($H83,'Rate Card'!$A$26:$D$29,3,FALSE)&lt;VLOOKUP($B83,'Rate Card'!$A$33:$F$50,4,FALSE),1+VLOOKUP($B83,'Rate Card'!$A$33:$F$50,5,FALSE),1),"")</f>
        <v/>
      </c>
      <c r="L83" s="13">
        <f>IFERROR($E83*$G83*$I83*$J83*$K83,"")</f>
        <v/>
      </c>
      <c r="M83" s="12" t="n"/>
    </row>
    <row r="84">
      <c r="A84" s="12" t="n"/>
      <c r="B84" s="12" t="n"/>
      <c r="C84" s="11">
        <f>IFERROR(VLOOKUP($B84,'Rate Card'!$A$5:$C$22,2,FALSE),"")</f>
        <v/>
      </c>
      <c r="D84" s="12" t="n"/>
      <c r="E84" s="6" t="n"/>
      <c r="F84" s="11">
        <f>IFERROR(VLOOKUP($B84,'Rate Card'!$A$5:$C$22,3,FALSE),"")</f>
        <v/>
      </c>
      <c r="G84" s="13">
        <f>IFERROR(VLOOKUP($B84,'Rate Card'!$A$5:$G$22,MATCH($D84,'Rate Card'!$D$4:$G$4,0)+3,FALSE),"")</f>
        <v/>
      </c>
      <c r="H84" s="12" t="n"/>
      <c r="I84" s="13">
        <f>IFERROR(IF(VLOOKUP($B84,'Rate Card'!$A$33:$F$50,6,FALSE)=0,1,VLOOKUP($H84,'Rate Card'!$A$26:$D$29,2,FALSE)),"")</f>
        <v/>
      </c>
      <c r="J84" s="6" t="n"/>
      <c r="K84" s="13">
        <f>IFERROR(IF(VLOOKUP($H84,'Rate Card'!$A$26:$D$29,3,FALSE)&lt;VLOOKUP($B84,'Rate Card'!$A$33:$F$50,4,FALSE),1+VLOOKUP($B84,'Rate Card'!$A$33:$F$50,5,FALSE),1),"")</f>
        <v/>
      </c>
      <c r="L84" s="13">
        <f>IFERROR($E84*$G84*$I84*$J84*$K84,"")</f>
        <v/>
      </c>
      <c r="M84" s="12" t="n"/>
    </row>
    <row r="85">
      <c r="A85" s="12" t="n"/>
      <c r="B85" s="12" t="n"/>
      <c r="C85" s="11">
        <f>IFERROR(VLOOKUP($B85,'Rate Card'!$A$5:$C$22,2,FALSE),"")</f>
        <v/>
      </c>
      <c r="D85" s="12" t="n"/>
      <c r="E85" s="6" t="n"/>
      <c r="F85" s="11">
        <f>IFERROR(VLOOKUP($B85,'Rate Card'!$A$5:$C$22,3,FALSE),"")</f>
        <v/>
      </c>
      <c r="G85" s="13">
        <f>IFERROR(VLOOKUP($B85,'Rate Card'!$A$5:$G$22,MATCH($D85,'Rate Card'!$D$4:$G$4,0)+3,FALSE),"")</f>
        <v/>
      </c>
      <c r="H85" s="12" t="n"/>
      <c r="I85" s="13">
        <f>IFERROR(IF(VLOOKUP($B85,'Rate Card'!$A$33:$F$50,6,FALSE)=0,1,VLOOKUP($H85,'Rate Card'!$A$26:$D$29,2,FALSE)),"")</f>
        <v/>
      </c>
      <c r="J85" s="6" t="n"/>
      <c r="K85" s="13">
        <f>IFERROR(IF(VLOOKUP($H85,'Rate Card'!$A$26:$D$29,3,FALSE)&lt;VLOOKUP($B85,'Rate Card'!$A$33:$F$50,4,FALSE),1+VLOOKUP($B85,'Rate Card'!$A$33:$F$50,5,FALSE),1),"")</f>
        <v/>
      </c>
      <c r="L85" s="13">
        <f>IFERROR($E85*$G85*$I85*$J85*$K85,"")</f>
        <v/>
      </c>
      <c r="M85" s="12" t="n"/>
    </row>
    <row r="86">
      <c r="A86" s="12" t="n"/>
      <c r="B86" s="12" t="n"/>
      <c r="C86" s="11">
        <f>IFERROR(VLOOKUP($B86,'Rate Card'!$A$5:$C$22,2,FALSE),"")</f>
        <v/>
      </c>
      <c r="D86" s="12" t="n"/>
      <c r="E86" s="6" t="n"/>
      <c r="F86" s="11">
        <f>IFERROR(VLOOKUP($B86,'Rate Card'!$A$5:$C$22,3,FALSE),"")</f>
        <v/>
      </c>
      <c r="G86" s="13">
        <f>IFERROR(VLOOKUP($B86,'Rate Card'!$A$5:$G$22,MATCH($D86,'Rate Card'!$D$4:$G$4,0)+3,FALSE),"")</f>
        <v/>
      </c>
      <c r="H86" s="12" t="n"/>
      <c r="I86" s="13">
        <f>IFERROR(IF(VLOOKUP($B86,'Rate Card'!$A$33:$F$50,6,FALSE)=0,1,VLOOKUP($H86,'Rate Card'!$A$26:$D$29,2,FALSE)),"")</f>
        <v/>
      </c>
      <c r="J86" s="6" t="n"/>
      <c r="K86" s="13">
        <f>IFERROR(IF(VLOOKUP($H86,'Rate Card'!$A$26:$D$29,3,FALSE)&lt;VLOOKUP($B86,'Rate Card'!$A$33:$F$50,4,FALSE),1+VLOOKUP($B86,'Rate Card'!$A$33:$F$50,5,FALSE),1),"")</f>
        <v/>
      </c>
      <c r="L86" s="13">
        <f>IFERROR($E86*$G86*$I86*$J86*$K86,"")</f>
        <v/>
      </c>
      <c r="M86" s="12" t="n"/>
    </row>
    <row r="87">
      <c r="A87" s="12" t="n"/>
      <c r="B87" s="12" t="n"/>
      <c r="C87" s="11">
        <f>IFERROR(VLOOKUP($B87,'Rate Card'!$A$5:$C$22,2,FALSE),"")</f>
        <v/>
      </c>
      <c r="D87" s="12" t="n"/>
      <c r="E87" s="6" t="n"/>
      <c r="F87" s="11">
        <f>IFERROR(VLOOKUP($B87,'Rate Card'!$A$5:$C$22,3,FALSE),"")</f>
        <v/>
      </c>
      <c r="G87" s="13">
        <f>IFERROR(VLOOKUP($B87,'Rate Card'!$A$5:$G$22,MATCH($D87,'Rate Card'!$D$4:$G$4,0)+3,FALSE),"")</f>
        <v/>
      </c>
      <c r="H87" s="12" t="n"/>
      <c r="I87" s="13">
        <f>IFERROR(IF(VLOOKUP($B87,'Rate Card'!$A$33:$F$50,6,FALSE)=0,1,VLOOKUP($H87,'Rate Card'!$A$26:$D$29,2,FALSE)),"")</f>
        <v/>
      </c>
      <c r="J87" s="6" t="n"/>
      <c r="K87" s="13">
        <f>IFERROR(IF(VLOOKUP($H87,'Rate Card'!$A$26:$D$29,3,FALSE)&lt;VLOOKUP($B87,'Rate Card'!$A$33:$F$50,4,FALSE),1+VLOOKUP($B87,'Rate Card'!$A$33:$F$50,5,FALSE),1),"")</f>
        <v/>
      </c>
      <c r="L87" s="13">
        <f>IFERROR($E87*$G87*$I87*$J87*$K87,"")</f>
        <v/>
      </c>
      <c r="M87" s="12" t="n"/>
    </row>
    <row r="88">
      <c r="A88" s="12" t="n"/>
      <c r="B88" s="12" t="n"/>
      <c r="C88" s="11">
        <f>IFERROR(VLOOKUP($B88,'Rate Card'!$A$5:$C$22,2,FALSE),"")</f>
        <v/>
      </c>
      <c r="D88" s="12" t="n"/>
      <c r="E88" s="6" t="n"/>
      <c r="F88" s="11">
        <f>IFERROR(VLOOKUP($B88,'Rate Card'!$A$5:$C$22,3,FALSE),"")</f>
        <v/>
      </c>
      <c r="G88" s="13">
        <f>IFERROR(VLOOKUP($B88,'Rate Card'!$A$5:$G$22,MATCH($D88,'Rate Card'!$D$4:$G$4,0)+3,FALSE),"")</f>
        <v/>
      </c>
      <c r="H88" s="12" t="n"/>
      <c r="I88" s="13">
        <f>IFERROR(IF(VLOOKUP($B88,'Rate Card'!$A$33:$F$50,6,FALSE)=0,1,VLOOKUP($H88,'Rate Card'!$A$26:$D$29,2,FALSE)),"")</f>
        <v/>
      </c>
      <c r="J88" s="6" t="n"/>
      <c r="K88" s="13">
        <f>IFERROR(IF(VLOOKUP($H88,'Rate Card'!$A$26:$D$29,3,FALSE)&lt;VLOOKUP($B88,'Rate Card'!$A$33:$F$50,4,FALSE),1+VLOOKUP($B88,'Rate Card'!$A$33:$F$50,5,FALSE),1),"")</f>
        <v/>
      </c>
      <c r="L88" s="13">
        <f>IFERROR($E88*$G88*$I88*$J88*$K88,"")</f>
        <v/>
      </c>
      <c r="M88" s="12" t="n"/>
    </row>
    <row r="89">
      <c r="A89" s="12" t="n"/>
      <c r="B89" s="12" t="n"/>
      <c r="C89" s="11">
        <f>IFERROR(VLOOKUP($B89,'Rate Card'!$A$5:$C$22,2,FALSE),"")</f>
        <v/>
      </c>
      <c r="D89" s="12" t="n"/>
      <c r="E89" s="6" t="n"/>
      <c r="F89" s="11">
        <f>IFERROR(VLOOKUP($B89,'Rate Card'!$A$5:$C$22,3,FALSE),"")</f>
        <v/>
      </c>
      <c r="G89" s="13">
        <f>IFERROR(VLOOKUP($B89,'Rate Card'!$A$5:$G$22,MATCH($D89,'Rate Card'!$D$4:$G$4,0)+3,FALSE),"")</f>
        <v/>
      </c>
      <c r="H89" s="12" t="n"/>
      <c r="I89" s="13">
        <f>IFERROR(IF(VLOOKUP($B89,'Rate Card'!$A$33:$F$50,6,FALSE)=0,1,VLOOKUP($H89,'Rate Card'!$A$26:$D$29,2,FALSE)),"")</f>
        <v/>
      </c>
      <c r="J89" s="6" t="n"/>
      <c r="K89" s="13">
        <f>IFERROR(IF(VLOOKUP($H89,'Rate Card'!$A$26:$D$29,3,FALSE)&lt;VLOOKUP($B89,'Rate Card'!$A$33:$F$50,4,FALSE),1+VLOOKUP($B89,'Rate Card'!$A$33:$F$50,5,FALSE),1),"")</f>
        <v/>
      </c>
      <c r="L89" s="13">
        <f>IFERROR($E89*$G89*$I89*$J89*$K89,"")</f>
        <v/>
      </c>
      <c r="M89" s="12" t="n"/>
    </row>
    <row r="90">
      <c r="A90" s="12" t="n"/>
      <c r="B90" s="12" t="n"/>
      <c r="C90" s="11">
        <f>IFERROR(VLOOKUP($B90,'Rate Card'!$A$5:$C$22,2,FALSE),"")</f>
        <v/>
      </c>
      <c r="D90" s="12" t="n"/>
      <c r="E90" s="6" t="n"/>
      <c r="F90" s="11">
        <f>IFERROR(VLOOKUP($B90,'Rate Card'!$A$5:$C$22,3,FALSE),"")</f>
        <v/>
      </c>
      <c r="G90" s="13">
        <f>IFERROR(VLOOKUP($B90,'Rate Card'!$A$5:$G$22,MATCH($D90,'Rate Card'!$D$4:$G$4,0)+3,FALSE),"")</f>
        <v/>
      </c>
      <c r="H90" s="12" t="n"/>
      <c r="I90" s="13">
        <f>IFERROR(IF(VLOOKUP($B90,'Rate Card'!$A$33:$F$50,6,FALSE)=0,1,VLOOKUP($H90,'Rate Card'!$A$26:$D$29,2,FALSE)),"")</f>
        <v/>
      </c>
      <c r="J90" s="6" t="n"/>
      <c r="K90" s="13">
        <f>IFERROR(IF(VLOOKUP($H90,'Rate Card'!$A$26:$D$29,3,FALSE)&lt;VLOOKUP($B90,'Rate Card'!$A$33:$F$50,4,FALSE),1+VLOOKUP($B90,'Rate Card'!$A$33:$F$50,5,FALSE),1),"")</f>
        <v/>
      </c>
      <c r="L90" s="13">
        <f>IFERROR($E90*$G90*$I90*$J90*$K90,"")</f>
        <v/>
      </c>
      <c r="M90" s="12" t="n"/>
    </row>
    <row r="91">
      <c r="A91" s="12" t="n"/>
      <c r="B91" s="12" t="n"/>
      <c r="C91" s="11">
        <f>IFERROR(VLOOKUP($B91,'Rate Card'!$A$5:$C$22,2,FALSE),"")</f>
        <v/>
      </c>
      <c r="D91" s="12" t="n"/>
      <c r="E91" s="6" t="n"/>
      <c r="F91" s="11">
        <f>IFERROR(VLOOKUP($B91,'Rate Card'!$A$5:$C$22,3,FALSE),"")</f>
        <v/>
      </c>
      <c r="G91" s="13">
        <f>IFERROR(VLOOKUP($B91,'Rate Card'!$A$5:$G$22,MATCH($D91,'Rate Card'!$D$4:$G$4,0)+3,FALSE),"")</f>
        <v/>
      </c>
      <c r="H91" s="12" t="n"/>
      <c r="I91" s="13">
        <f>IFERROR(IF(VLOOKUP($B91,'Rate Card'!$A$33:$F$50,6,FALSE)=0,1,VLOOKUP($H91,'Rate Card'!$A$26:$D$29,2,FALSE)),"")</f>
        <v/>
      </c>
      <c r="J91" s="6" t="n"/>
      <c r="K91" s="13">
        <f>IFERROR(IF(VLOOKUP($H91,'Rate Card'!$A$26:$D$29,3,FALSE)&lt;VLOOKUP($B91,'Rate Card'!$A$33:$F$50,4,FALSE),1+VLOOKUP($B91,'Rate Card'!$A$33:$F$50,5,FALSE),1),"")</f>
        <v/>
      </c>
      <c r="L91" s="13">
        <f>IFERROR($E91*$G91*$I91*$J91*$K91,"")</f>
        <v/>
      </c>
      <c r="M91" s="12" t="n"/>
    </row>
    <row r="92">
      <c r="A92" s="12" t="n"/>
      <c r="B92" s="12" t="n"/>
      <c r="C92" s="11">
        <f>IFERROR(VLOOKUP($B92,'Rate Card'!$A$5:$C$22,2,FALSE),"")</f>
        <v/>
      </c>
      <c r="D92" s="12" t="n"/>
      <c r="E92" s="6" t="n"/>
      <c r="F92" s="11">
        <f>IFERROR(VLOOKUP($B92,'Rate Card'!$A$5:$C$22,3,FALSE),"")</f>
        <v/>
      </c>
      <c r="G92" s="13">
        <f>IFERROR(VLOOKUP($B92,'Rate Card'!$A$5:$G$22,MATCH($D92,'Rate Card'!$D$4:$G$4,0)+3,FALSE),"")</f>
        <v/>
      </c>
      <c r="H92" s="12" t="n"/>
      <c r="I92" s="13">
        <f>IFERROR(IF(VLOOKUP($B92,'Rate Card'!$A$33:$F$50,6,FALSE)=0,1,VLOOKUP($H92,'Rate Card'!$A$26:$D$29,2,FALSE)),"")</f>
        <v/>
      </c>
      <c r="J92" s="6" t="n"/>
      <c r="K92" s="13">
        <f>IFERROR(IF(VLOOKUP($H92,'Rate Card'!$A$26:$D$29,3,FALSE)&lt;VLOOKUP($B92,'Rate Card'!$A$33:$F$50,4,FALSE),1+VLOOKUP($B92,'Rate Card'!$A$33:$F$50,5,FALSE),1),"")</f>
        <v/>
      </c>
      <c r="L92" s="13">
        <f>IFERROR($E92*$G92*$I92*$J92*$K92,"")</f>
        <v/>
      </c>
      <c r="M92" s="12" t="n"/>
    </row>
    <row r="93">
      <c r="A93" s="12" t="n"/>
      <c r="B93" s="12" t="n"/>
      <c r="C93" s="11">
        <f>IFERROR(VLOOKUP($B93,'Rate Card'!$A$5:$C$22,2,FALSE),"")</f>
        <v/>
      </c>
      <c r="D93" s="12" t="n"/>
      <c r="E93" s="6" t="n"/>
      <c r="F93" s="11">
        <f>IFERROR(VLOOKUP($B93,'Rate Card'!$A$5:$C$22,3,FALSE),"")</f>
        <v/>
      </c>
      <c r="G93" s="13">
        <f>IFERROR(VLOOKUP($B93,'Rate Card'!$A$5:$G$22,MATCH($D93,'Rate Card'!$D$4:$G$4,0)+3,FALSE),"")</f>
        <v/>
      </c>
      <c r="H93" s="12" t="n"/>
      <c r="I93" s="13">
        <f>IFERROR(IF(VLOOKUP($B93,'Rate Card'!$A$33:$F$50,6,FALSE)=0,1,VLOOKUP($H93,'Rate Card'!$A$26:$D$29,2,FALSE)),"")</f>
        <v/>
      </c>
      <c r="J93" s="6" t="n"/>
      <c r="K93" s="13">
        <f>IFERROR(IF(VLOOKUP($H93,'Rate Card'!$A$26:$D$29,3,FALSE)&lt;VLOOKUP($B93,'Rate Card'!$A$33:$F$50,4,FALSE),1+VLOOKUP($B93,'Rate Card'!$A$33:$F$50,5,FALSE),1),"")</f>
        <v/>
      </c>
      <c r="L93" s="13">
        <f>IFERROR($E93*$G93*$I93*$J93*$K93,"")</f>
        <v/>
      </c>
      <c r="M93" s="12" t="n"/>
    </row>
    <row r="94">
      <c r="A94" s="12" t="n"/>
      <c r="B94" s="12" t="n"/>
      <c r="C94" s="11">
        <f>IFERROR(VLOOKUP($B94,'Rate Card'!$A$5:$C$22,2,FALSE),"")</f>
        <v/>
      </c>
      <c r="D94" s="12" t="n"/>
      <c r="E94" s="6" t="n"/>
      <c r="F94" s="11">
        <f>IFERROR(VLOOKUP($B94,'Rate Card'!$A$5:$C$22,3,FALSE),"")</f>
        <v/>
      </c>
      <c r="G94" s="13">
        <f>IFERROR(VLOOKUP($B94,'Rate Card'!$A$5:$G$22,MATCH($D94,'Rate Card'!$D$4:$G$4,0)+3,FALSE),"")</f>
        <v/>
      </c>
      <c r="H94" s="12" t="n"/>
      <c r="I94" s="13">
        <f>IFERROR(IF(VLOOKUP($B94,'Rate Card'!$A$33:$F$50,6,FALSE)=0,1,VLOOKUP($H94,'Rate Card'!$A$26:$D$29,2,FALSE)),"")</f>
        <v/>
      </c>
      <c r="J94" s="6" t="n"/>
      <c r="K94" s="13">
        <f>IFERROR(IF(VLOOKUP($H94,'Rate Card'!$A$26:$D$29,3,FALSE)&lt;VLOOKUP($B94,'Rate Card'!$A$33:$F$50,4,FALSE),1+VLOOKUP($B94,'Rate Card'!$A$33:$F$50,5,FALSE),1),"")</f>
        <v/>
      </c>
      <c r="L94" s="13">
        <f>IFERROR($E94*$G94*$I94*$J94*$K94,"")</f>
        <v/>
      </c>
      <c r="M94" s="12" t="n"/>
    </row>
    <row r="95">
      <c r="A95" s="12" t="n"/>
      <c r="B95" s="12" t="n"/>
      <c r="C95" s="11">
        <f>IFERROR(VLOOKUP($B95,'Rate Card'!$A$5:$C$22,2,FALSE),"")</f>
        <v/>
      </c>
      <c r="D95" s="12" t="n"/>
      <c r="E95" s="6" t="n"/>
      <c r="F95" s="11">
        <f>IFERROR(VLOOKUP($B95,'Rate Card'!$A$5:$C$22,3,FALSE),"")</f>
        <v/>
      </c>
      <c r="G95" s="13">
        <f>IFERROR(VLOOKUP($B95,'Rate Card'!$A$5:$G$22,MATCH($D95,'Rate Card'!$D$4:$G$4,0)+3,FALSE),"")</f>
        <v/>
      </c>
      <c r="H95" s="12" t="n"/>
      <c r="I95" s="13">
        <f>IFERROR(IF(VLOOKUP($B95,'Rate Card'!$A$33:$F$50,6,FALSE)=0,1,VLOOKUP($H95,'Rate Card'!$A$26:$D$29,2,FALSE)),"")</f>
        <v/>
      </c>
      <c r="J95" s="6" t="n"/>
      <c r="K95" s="13">
        <f>IFERROR(IF(VLOOKUP($H95,'Rate Card'!$A$26:$D$29,3,FALSE)&lt;VLOOKUP($B95,'Rate Card'!$A$33:$F$50,4,FALSE),1+VLOOKUP($B95,'Rate Card'!$A$33:$F$50,5,FALSE),1),"")</f>
        <v/>
      </c>
      <c r="L95" s="13">
        <f>IFERROR($E95*$G95*$I95*$J95*$K95,"")</f>
        <v/>
      </c>
      <c r="M95" s="12" t="n"/>
    </row>
    <row r="96">
      <c r="A96" s="12" t="n"/>
      <c r="B96" s="12" t="n"/>
      <c r="C96" s="11">
        <f>IFERROR(VLOOKUP($B96,'Rate Card'!$A$5:$C$22,2,FALSE),"")</f>
        <v/>
      </c>
      <c r="D96" s="12" t="n"/>
      <c r="E96" s="6" t="n"/>
      <c r="F96" s="11">
        <f>IFERROR(VLOOKUP($B96,'Rate Card'!$A$5:$C$22,3,FALSE),"")</f>
        <v/>
      </c>
      <c r="G96" s="13">
        <f>IFERROR(VLOOKUP($B96,'Rate Card'!$A$5:$G$22,MATCH($D96,'Rate Card'!$D$4:$G$4,0)+3,FALSE),"")</f>
        <v/>
      </c>
      <c r="H96" s="12" t="n"/>
      <c r="I96" s="13">
        <f>IFERROR(IF(VLOOKUP($B96,'Rate Card'!$A$33:$F$50,6,FALSE)=0,1,VLOOKUP($H96,'Rate Card'!$A$26:$D$29,2,FALSE)),"")</f>
        <v/>
      </c>
      <c r="J96" s="6" t="n"/>
      <c r="K96" s="13">
        <f>IFERROR(IF(VLOOKUP($H96,'Rate Card'!$A$26:$D$29,3,FALSE)&lt;VLOOKUP($B96,'Rate Card'!$A$33:$F$50,4,FALSE),1+VLOOKUP($B96,'Rate Card'!$A$33:$F$50,5,FALSE),1),"")</f>
        <v/>
      </c>
      <c r="L96" s="13">
        <f>IFERROR($E96*$G96*$I96*$J96*$K96,"")</f>
        <v/>
      </c>
      <c r="M96" s="12" t="n"/>
    </row>
    <row r="97">
      <c r="A97" s="12" t="n"/>
      <c r="B97" s="12" t="n"/>
      <c r="C97" s="11">
        <f>IFERROR(VLOOKUP($B97,'Rate Card'!$A$5:$C$22,2,FALSE),"")</f>
        <v/>
      </c>
      <c r="D97" s="12" t="n"/>
      <c r="E97" s="6" t="n"/>
      <c r="F97" s="11">
        <f>IFERROR(VLOOKUP($B97,'Rate Card'!$A$5:$C$22,3,FALSE),"")</f>
        <v/>
      </c>
      <c r="G97" s="13">
        <f>IFERROR(VLOOKUP($B97,'Rate Card'!$A$5:$G$22,MATCH($D97,'Rate Card'!$D$4:$G$4,0)+3,FALSE),"")</f>
        <v/>
      </c>
      <c r="H97" s="12" t="n"/>
      <c r="I97" s="13">
        <f>IFERROR(IF(VLOOKUP($B97,'Rate Card'!$A$33:$F$50,6,FALSE)=0,1,VLOOKUP($H97,'Rate Card'!$A$26:$D$29,2,FALSE)),"")</f>
        <v/>
      </c>
      <c r="J97" s="6" t="n"/>
      <c r="K97" s="13">
        <f>IFERROR(IF(VLOOKUP($H97,'Rate Card'!$A$26:$D$29,3,FALSE)&lt;VLOOKUP($B97,'Rate Card'!$A$33:$F$50,4,FALSE),1+VLOOKUP($B97,'Rate Card'!$A$33:$F$50,5,FALSE),1),"")</f>
        <v/>
      </c>
      <c r="L97" s="13">
        <f>IFERROR($E97*$G97*$I97*$J97*$K97,"")</f>
        <v/>
      </c>
      <c r="M97" s="12" t="n"/>
    </row>
    <row r="98">
      <c r="A98" s="12" t="n"/>
      <c r="B98" s="12" t="n"/>
      <c r="C98" s="11">
        <f>IFERROR(VLOOKUP($B98,'Rate Card'!$A$5:$C$22,2,FALSE),"")</f>
        <v/>
      </c>
      <c r="D98" s="12" t="n"/>
      <c r="E98" s="6" t="n"/>
      <c r="F98" s="11">
        <f>IFERROR(VLOOKUP($B98,'Rate Card'!$A$5:$C$22,3,FALSE),"")</f>
        <v/>
      </c>
      <c r="G98" s="13">
        <f>IFERROR(VLOOKUP($B98,'Rate Card'!$A$5:$G$22,MATCH($D98,'Rate Card'!$D$4:$G$4,0)+3,FALSE),"")</f>
        <v/>
      </c>
      <c r="H98" s="12" t="n"/>
      <c r="I98" s="13">
        <f>IFERROR(IF(VLOOKUP($B98,'Rate Card'!$A$33:$F$50,6,FALSE)=0,1,VLOOKUP($H98,'Rate Card'!$A$26:$D$29,2,FALSE)),"")</f>
        <v/>
      </c>
      <c r="J98" s="6" t="n"/>
      <c r="K98" s="13">
        <f>IFERROR(IF(VLOOKUP($H98,'Rate Card'!$A$26:$D$29,3,FALSE)&lt;VLOOKUP($B98,'Rate Card'!$A$33:$F$50,4,FALSE),1+VLOOKUP($B98,'Rate Card'!$A$33:$F$50,5,FALSE),1),"")</f>
        <v/>
      </c>
      <c r="L98" s="13">
        <f>IFERROR($E98*$G98*$I98*$J98*$K98,"")</f>
        <v/>
      </c>
      <c r="M98" s="12" t="n"/>
    </row>
    <row r="99">
      <c r="A99" s="12" t="n"/>
      <c r="B99" s="12" t="n"/>
      <c r="C99" s="11">
        <f>IFERROR(VLOOKUP($B99,'Rate Card'!$A$5:$C$22,2,FALSE),"")</f>
        <v/>
      </c>
      <c r="D99" s="12" t="n"/>
      <c r="E99" s="6" t="n"/>
      <c r="F99" s="11">
        <f>IFERROR(VLOOKUP($B99,'Rate Card'!$A$5:$C$22,3,FALSE),"")</f>
        <v/>
      </c>
      <c r="G99" s="13">
        <f>IFERROR(VLOOKUP($B99,'Rate Card'!$A$5:$G$22,MATCH($D99,'Rate Card'!$D$4:$G$4,0)+3,FALSE),"")</f>
        <v/>
      </c>
      <c r="H99" s="12" t="n"/>
      <c r="I99" s="13">
        <f>IFERROR(IF(VLOOKUP($B99,'Rate Card'!$A$33:$F$50,6,FALSE)=0,1,VLOOKUP($H99,'Rate Card'!$A$26:$D$29,2,FALSE)),"")</f>
        <v/>
      </c>
      <c r="J99" s="6" t="n"/>
      <c r="K99" s="13">
        <f>IFERROR(IF(VLOOKUP($H99,'Rate Card'!$A$26:$D$29,3,FALSE)&lt;VLOOKUP($B99,'Rate Card'!$A$33:$F$50,4,FALSE),1+VLOOKUP($B99,'Rate Card'!$A$33:$F$50,5,FALSE),1),"")</f>
        <v/>
      </c>
      <c r="L99" s="13">
        <f>IFERROR($E99*$G99*$I99*$J99*$K99,"")</f>
        <v/>
      </c>
      <c r="M99" s="12" t="n"/>
    </row>
    <row r="100">
      <c r="A100" s="12" t="n"/>
      <c r="B100" s="12" t="n"/>
      <c r="C100" s="11">
        <f>IFERROR(VLOOKUP($B100,'Rate Card'!$A$5:$C$22,2,FALSE),"")</f>
        <v/>
      </c>
      <c r="D100" s="12" t="n"/>
      <c r="E100" s="6" t="n"/>
      <c r="F100" s="11">
        <f>IFERROR(VLOOKUP($B100,'Rate Card'!$A$5:$C$22,3,FALSE),"")</f>
        <v/>
      </c>
      <c r="G100" s="13">
        <f>IFERROR(VLOOKUP($B100,'Rate Card'!$A$5:$G$22,MATCH($D100,'Rate Card'!$D$4:$G$4,0)+3,FALSE),"")</f>
        <v/>
      </c>
      <c r="H100" s="12" t="n"/>
      <c r="I100" s="13">
        <f>IFERROR(IF(VLOOKUP($B100,'Rate Card'!$A$33:$F$50,6,FALSE)=0,1,VLOOKUP($H100,'Rate Card'!$A$26:$D$29,2,FALSE)),"")</f>
        <v/>
      </c>
      <c r="J100" s="6" t="n"/>
      <c r="K100" s="13">
        <f>IFERROR(IF(VLOOKUP($H100,'Rate Card'!$A$26:$D$29,3,FALSE)&lt;VLOOKUP($B100,'Rate Card'!$A$33:$F$50,4,FALSE),1+VLOOKUP($B100,'Rate Card'!$A$33:$F$50,5,FALSE),1),"")</f>
        <v/>
      </c>
      <c r="L100" s="13">
        <f>IFERROR($E100*$G100*$I100*$J100*$K100,"")</f>
        <v/>
      </c>
      <c r="M100" s="12" t="n"/>
    </row>
    <row r="101">
      <c r="A101" s="12" t="n"/>
      <c r="B101" s="12" t="n"/>
      <c r="C101" s="11">
        <f>IFERROR(VLOOKUP($B101,'Rate Card'!$A$5:$C$22,2,FALSE),"")</f>
        <v/>
      </c>
      <c r="D101" s="12" t="n"/>
      <c r="E101" s="6" t="n"/>
      <c r="F101" s="11">
        <f>IFERROR(VLOOKUP($B101,'Rate Card'!$A$5:$C$22,3,FALSE),"")</f>
        <v/>
      </c>
      <c r="G101" s="13">
        <f>IFERROR(VLOOKUP($B101,'Rate Card'!$A$5:$G$22,MATCH($D101,'Rate Card'!$D$4:$G$4,0)+3,FALSE),"")</f>
        <v/>
      </c>
      <c r="H101" s="12" t="n"/>
      <c r="I101" s="13">
        <f>IFERROR(IF(VLOOKUP($B101,'Rate Card'!$A$33:$F$50,6,FALSE)=0,1,VLOOKUP($H101,'Rate Card'!$A$26:$D$29,2,FALSE)),"")</f>
        <v/>
      </c>
      <c r="J101" s="6" t="n"/>
      <c r="K101" s="13">
        <f>IFERROR(IF(VLOOKUP($H101,'Rate Card'!$A$26:$D$29,3,FALSE)&lt;VLOOKUP($B101,'Rate Card'!$A$33:$F$50,4,FALSE),1+VLOOKUP($B101,'Rate Card'!$A$33:$F$50,5,FALSE),1),"")</f>
        <v/>
      </c>
      <c r="L101" s="13">
        <f>IFERROR($E101*$G101*$I101*$J101*$K101,"")</f>
        <v/>
      </c>
      <c r="M101" s="12" t="n"/>
    </row>
    <row r="102">
      <c r="A102" s="12" t="n"/>
      <c r="B102" s="12" t="n"/>
      <c r="C102" s="11">
        <f>IFERROR(VLOOKUP($B102,'Rate Card'!$A$5:$C$22,2,FALSE),"")</f>
        <v/>
      </c>
      <c r="D102" s="12" t="n"/>
      <c r="E102" s="6" t="n"/>
      <c r="F102" s="11">
        <f>IFERROR(VLOOKUP($B102,'Rate Card'!$A$5:$C$22,3,FALSE),"")</f>
        <v/>
      </c>
      <c r="G102" s="13">
        <f>IFERROR(VLOOKUP($B102,'Rate Card'!$A$5:$G$22,MATCH($D102,'Rate Card'!$D$4:$G$4,0)+3,FALSE),"")</f>
        <v/>
      </c>
      <c r="H102" s="12" t="n"/>
      <c r="I102" s="13">
        <f>IFERROR(IF(VLOOKUP($B102,'Rate Card'!$A$33:$F$50,6,FALSE)=0,1,VLOOKUP($H102,'Rate Card'!$A$26:$D$29,2,FALSE)),"")</f>
        <v/>
      </c>
      <c r="J102" s="6" t="n"/>
      <c r="K102" s="13">
        <f>IFERROR(IF(VLOOKUP($H102,'Rate Card'!$A$26:$D$29,3,FALSE)&lt;VLOOKUP($B102,'Rate Card'!$A$33:$F$50,4,FALSE),1+VLOOKUP($B102,'Rate Card'!$A$33:$F$50,5,FALSE),1),"")</f>
        <v/>
      </c>
      <c r="L102" s="13">
        <f>IFERROR($E102*$G102*$I102*$J102*$K102,"")</f>
        <v/>
      </c>
      <c r="M102" s="12" t="n"/>
    </row>
    <row r="103">
      <c r="A103" s="12" t="n"/>
      <c r="B103" s="12" t="n"/>
      <c r="C103" s="11">
        <f>IFERROR(VLOOKUP($B103,'Rate Card'!$A$5:$C$22,2,FALSE),"")</f>
        <v/>
      </c>
      <c r="D103" s="12" t="n"/>
      <c r="E103" s="6" t="n"/>
      <c r="F103" s="11">
        <f>IFERROR(VLOOKUP($B103,'Rate Card'!$A$5:$C$22,3,FALSE),"")</f>
        <v/>
      </c>
      <c r="G103" s="13">
        <f>IFERROR(VLOOKUP($B103,'Rate Card'!$A$5:$G$22,MATCH($D103,'Rate Card'!$D$4:$G$4,0)+3,FALSE),"")</f>
        <v/>
      </c>
      <c r="H103" s="12" t="n"/>
      <c r="I103" s="13">
        <f>IFERROR(IF(VLOOKUP($B103,'Rate Card'!$A$33:$F$50,6,FALSE)=0,1,VLOOKUP($H103,'Rate Card'!$A$26:$D$29,2,FALSE)),"")</f>
        <v/>
      </c>
      <c r="J103" s="6" t="n"/>
      <c r="K103" s="13">
        <f>IFERROR(IF(VLOOKUP($H103,'Rate Card'!$A$26:$D$29,3,FALSE)&lt;VLOOKUP($B103,'Rate Card'!$A$33:$F$50,4,FALSE),1+VLOOKUP($B103,'Rate Card'!$A$33:$F$50,5,FALSE),1),"")</f>
        <v/>
      </c>
      <c r="L103" s="13">
        <f>IFERROR($E103*$G103*$I103*$J103*$K103,"")</f>
        <v/>
      </c>
      <c r="M103" s="12" t="n"/>
    </row>
    <row r="104">
      <c r="A104" s="12" t="n"/>
      <c r="B104" s="12" t="n"/>
      <c r="C104" s="11">
        <f>IFERROR(VLOOKUP($B104,'Rate Card'!$A$5:$C$22,2,FALSE),"")</f>
        <v/>
      </c>
      <c r="D104" s="12" t="n"/>
      <c r="E104" s="6" t="n"/>
      <c r="F104" s="11">
        <f>IFERROR(VLOOKUP($B104,'Rate Card'!$A$5:$C$22,3,FALSE),"")</f>
        <v/>
      </c>
      <c r="G104" s="13">
        <f>IFERROR(VLOOKUP($B104,'Rate Card'!$A$5:$G$22,MATCH($D104,'Rate Card'!$D$4:$G$4,0)+3,FALSE),"")</f>
        <v/>
      </c>
      <c r="H104" s="12" t="n"/>
      <c r="I104" s="13">
        <f>IFERROR(IF(VLOOKUP($B104,'Rate Card'!$A$33:$F$50,6,FALSE)=0,1,VLOOKUP($H104,'Rate Card'!$A$26:$D$29,2,FALSE)),"")</f>
        <v/>
      </c>
      <c r="J104" s="6" t="n"/>
      <c r="K104" s="13">
        <f>IFERROR(IF(VLOOKUP($H104,'Rate Card'!$A$26:$D$29,3,FALSE)&lt;VLOOKUP($B104,'Rate Card'!$A$33:$F$50,4,FALSE),1+VLOOKUP($B104,'Rate Card'!$A$33:$F$50,5,FALSE),1),"")</f>
        <v/>
      </c>
      <c r="L104" s="13">
        <f>IFERROR($E104*$G104*$I104*$J104*$K104,"")</f>
        <v/>
      </c>
      <c r="M104" s="12" t="n"/>
    </row>
    <row r="105">
      <c r="A105" s="12" t="n"/>
      <c r="B105" s="12" t="n"/>
      <c r="C105" s="11">
        <f>IFERROR(VLOOKUP($B105,'Rate Card'!$A$5:$C$22,2,FALSE),"")</f>
        <v/>
      </c>
      <c r="D105" s="12" t="n"/>
      <c r="E105" s="6" t="n"/>
      <c r="F105" s="11">
        <f>IFERROR(VLOOKUP($B105,'Rate Card'!$A$5:$C$22,3,FALSE),"")</f>
        <v/>
      </c>
      <c r="G105" s="13">
        <f>IFERROR(VLOOKUP($B105,'Rate Card'!$A$5:$G$22,MATCH($D105,'Rate Card'!$D$4:$G$4,0)+3,FALSE),"")</f>
        <v/>
      </c>
      <c r="H105" s="12" t="n"/>
      <c r="I105" s="13">
        <f>IFERROR(IF(VLOOKUP($B105,'Rate Card'!$A$33:$F$50,6,FALSE)=0,1,VLOOKUP($H105,'Rate Card'!$A$26:$D$29,2,FALSE)),"")</f>
        <v/>
      </c>
      <c r="J105" s="6" t="n"/>
      <c r="K105" s="13">
        <f>IFERROR(IF(VLOOKUP($H105,'Rate Card'!$A$26:$D$29,3,FALSE)&lt;VLOOKUP($B105,'Rate Card'!$A$33:$F$50,4,FALSE),1+VLOOKUP($B105,'Rate Card'!$A$33:$F$50,5,FALSE),1),"")</f>
        <v/>
      </c>
      <c r="L105" s="13">
        <f>IFERROR($E105*$G105*$I105*$J105*$K105,"")</f>
        <v/>
      </c>
      <c r="M105" s="12" t="n"/>
    </row>
    <row r="106">
      <c r="A106" s="12" t="n"/>
      <c r="B106" s="12" t="n"/>
      <c r="C106" s="11">
        <f>IFERROR(VLOOKUP($B106,'Rate Card'!$A$5:$C$22,2,FALSE),"")</f>
        <v/>
      </c>
      <c r="D106" s="12" t="n"/>
      <c r="E106" s="6" t="n"/>
      <c r="F106" s="11">
        <f>IFERROR(VLOOKUP($B106,'Rate Card'!$A$5:$C$22,3,FALSE),"")</f>
        <v/>
      </c>
      <c r="G106" s="13">
        <f>IFERROR(VLOOKUP($B106,'Rate Card'!$A$5:$G$22,MATCH($D106,'Rate Card'!$D$4:$G$4,0)+3,FALSE),"")</f>
        <v/>
      </c>
      <c r="H106" s="12" t="n"/>
      <c r="I106" s="13">
        <f>IFERROR(IF(VLOOKUP($B106,'Rate Card'!$A$33:$F$50,6,FALSE)=0,1,VLOOKUP($H106,'Rate Card'!$A$26:$D$29,2,FALSE)),"")</f>
        <v/>
      </c>
      <c r="J106" s="6" t="n"/>
      <c r="K106" s="13">
        <f>IFERROR(IF(VLOOKUP($H106,'Rate Card'!$A$26:$D$29,3,FALSE)&lt;VLOOKUP($B106,'Rate Card'!$A$33:$F$50,4,FALSE),1+VLOOKUP($B106,'Rate Card'!$A$33:$F$50,5,FALSE),1),"")</f>
        <v/>
      </c>
      <c r="L106" s="13">
        <f>IFERROR($E106*$G106*$I106*$J106*$K106,"")</f>
        <v/>
      </c>
      <c r="M106" s="12" t="n"/>
    </row>
    <row r="107">
      <c r="A107" s="12" t="n"/>
      <c r="B107" s="12" t="n"/>
      <c r="C107" s="11">
        <f>IFERROR(VLOOKUP($B107,'Rate Card'!$A$5:$C$22,2,FALSE),"")</f>
        <v/>
      </c>
      <c r="D107" s="12" t="n"/>
      <c r="E107" s="6" t="n"/>
      <c r="F107" s="11">
        <f>IFERROR(VLOOKUP($B107,'Rate Card'!$A$5:$C$22,3,FALSE),"")</f>
        <v/>
      </c>
      <c r="G107" s="13">
        <f>IFERROR(VLOOKUP($B107,'Rate Card'!$A$5:$G$22,MATCH($D107,'Rate Card'!$D$4:$G$4,0)+3,FALSE),"")</f>
        <v/>
      </c>
      <c r="H107" s="12" t="n"/>
      <c r="I107" s="13">
        <f>IFERROR(IF(VLOOKUP($B107,'Rate Card'!$A$33:$F$50,6,FALSE)=0,1,VLOOKUP($H107,'Rate Card'!$A$26:$D$29,2,FALSE)),"")</f>
        <v/>
      </c>
      <c r="J107" s="6" t="n"/>
      <c r="K107" s="13">
        <f>IFERROR(IF(VLOOKUP($H107,'Rate Card'!$A$26:$D$29,3,FALSE)&lt;VLOOKUP($B107,'Rate Card'!$A$33:$F$50,4,FALSE),1+VLOOKUP($B107,'Rate Card'!$A$33:$F$50,5,FALSE),1),"")</f>
        <v/>
      </c>
      <c r="L107" s="13">
        <f>IFERROR($E107*$G107*$I107*$J107*$K107,"")</f>
        <v/>
      </c>
      <c r="M107" s="12" t="n"/>
    </row>
    <row r="108">
      <c r="A108" s="12" t="n"/>
      <c r="B108" s="12" t="n"/>
      <c r="C108" s="11">
        <f>IFERROR(VLOOKUP($B108,'Rate Card'!$A$5:$C$22,2,FALSE),"")</f>
        <v/>
      </c>
      <c r="D108" s="12" t="n"/>
      <c r="E108" s="6" t="n"/>
      <c r="F108" s="11">
        <f>IFERROR(VLOOKUP($B108,'Rate Card'!$A$5:$C$22,3,FALSE),"")</f>
        <v/>
      </c>
      <c r="G108" s="13">
        <f>IFERROR(VLOOKUP($B108,'Rate Card'!$A$5:$G$22,MATCH($D108,'Rate Card'!$D$4:$G$4,0)+3,FALSE),"")</f>
        <v/>
      </c>
      <c r="H108" s="12" t="n"/>
      <c r="I108" s="13">
        <f>IFERROR(IF(VLOOKUP($B108,'Rate Card'!$A$33:$F$50,6,FALSE)=0,1,VLOOKUP($H108,'Rate Card'!$A$26:$D$29,2,FALSE)),"")</f>
        <v/>
      </c>
      <c r="J108" s="6" t="n"/>
      <c r="K108" s="13">
        <f>IFERROR(IF(VLOOKUP($H108,'Rate Card'!$A$26:$D$29,3,FALSE)&lt;VLOOKUP($B108,'Rate Card'!$A$33:$F$50,4,FALSE),1+VLOOKUP($B108,'Rate Card'!$A$33:$F$50,5,FALSE),1),"")</f>
        <v/>
      </c>
      <c r="L108" s="13">
        <f>IFERROR($E108*$G108*$I108*$J108*$K108,"")</f>
        <v/>
      </c>
      <c r="M108" s="12" t="n"/>
    </row>
    <row r="109">
      <c r="A109" s="12" t="n"/>
      <c r="B109" s="12" t="n"/>
      <c r="C109" s="11">
        <f>IFERROR(VLOOKUP($B109,'Rate Card'!$A$5:$C$22,2,FALSE),"")</f>
        <v/>
      </c>
      <c r="D109" s="12" t="n"/>
      <c r="E109" s="6" t="n"/>
      <c r="F109" s="11">
        <f>IFERROR(VLOOKUP($B109,'Rate Card'!$A$5:$C$22,3,FALSE),"")</f>
        <v/>
      </c>
      <c r="G109" s="13">
        <f>IFERROR(VLOOKUP($B109,'Rate Card'!$A$5:$G$22,MATCH($D109,'Rate Card'!$D$4:$G$4,0)+3,FALSE),"")</f>
        <v/>
      </c>
      <c r="H109" s="12" t="n"/>
      <c r="I109" s="13">
        <f>IFERROR(IF(VLOOKUP($B109,'Rate Card'!$A$33:$F$50,6,FALSE)=0,1,VLOOKUP($H109,'Rate Card'!$A$26:$D$29,2,FALSE)),"")</f>
        <v/>
      </c>
      <c r="J109" s="6" t="n"/>
      <c r="K109" s="13">
        <f>IFERROR(IF(VLOOKUP($H109,'Rate Card'!$A$26:$D$29,3,FALSE)&lt;VLOOKUP($B109,'Rate Card'!$A$33:$F$50,4,FALSE),1+VLOOKUP($B109,'Rate Card'!$A$33:$F$50,5,FALSE),1),"")</f>
        <v/>
      </c>
      <c r="L109" s="13">
        <f>IFERROR($E109*$G109*$I109*$J109*$K109,"")</f>
        <v/>
      </c>
      <c r="M109" s="12" t="n"/>
    </row>
    <row r="110">
      <c r="A110" s="12" t="n"/>
      <c r="B110" s="12" t="n"/>
      <c r="C110" s="11">
        <f>IFERROR(VLOOKUP($B110,'Rate Card'!$A$5:$C$22,2,FALSE),"")</f>
        <v/>
      </c>
      <c r="D110" s="12" t="n"/>
      <c r="E110" s="6" t="n"/>
      <c r="F110" s="11">
        <f>IFERROR(VLOOKUP($B110,'Rate Card'!$A$5:$C$22,3,FALSE),"")</f>
        <v/>
      </c>
      <c r="G110" s="13">
        <f>IFERROR(VLOOKUP($B110,'Rate Card'!$A$5:$G$22,MATCH($D110,'Rate Card'!$D$4:$G$4,0)+3,FALSE),"")</f>
        <v/>
      </c>
      <c r="H110" s="12" t="n"/>
      <c r="I110" s="13">
        <f>IFERROR(IF(VLOOKUP($B110,'Rate Card'!$A$33:$F$50,6,FALSE)=0,1,VLOOKUP($H110,'Rate Card'!$A$26:$D$29,2,FALSE)),"")</f>
        <v/>
      </c>
      <c r="J110" s="6" t="n"/>
      <c r="K110" s="13">
        <f>IFERROR(IF(VLOOKUP($H110,'Rate Card'!$A$26:$D$29,3,FALSE)&lt;VLOOKUP($B110,'Rate Card'!$A$33:$F$50,4,FALSE),1+VLOOKUP($B110,'Rate Card'!$A$33:$F$50,5,FALSE),1),"")</f>
        <v/>
      </c>
      <c r="L110" s="13">
        <f>IFERROR($E110*$G110*$I110*$J110*$K110,"")</f>
        <v/>
      </c>
      <c r="M110" s="12" t="n"/>
    </row>
    <row r="111">
      <c r="A111" s="12" t="n"/>
      <c r="B111" s="12" t="n"/>
      <c r="C111" s="11">
        <f>IFERROR(VLOOKUP($B111,'Rate Card'!$A$5:$C$22,2,FALSE),"")</f>
        <v/>
      </c>
      <c r="D111" s="12" t="n"/>
      <c r="E111" s="6" t="n"/>
      <c r="F111" s="11">
        <f>IFERROR(VLOOKUP($B111,'Rate Card'!$A$5:$C$22,3,FALSE),"")</f>
        <v/>
      </c>
      <c r="G111" s="13">
        <f>IFERROR(VLOOKUP($B111,'Rate Card'!$A$5:$G$22,MATCH($D111,'Rate Card'!$D$4:$G$4,0)+3,FALSE),"")</f>
        <v/>
      </c>
      <c r="H111" s="12" t="n"/>
      <c r="I111" s="13">
        <f>IFERROR(IF(VLOOKUP($B111,'Rate Card'!$A$33:$F$50,6,FALSE)=0,1,VLOOKUP($H111,'Rate Card'!$A$26:$D$29,2,FALSE)),"")</f>
        <v/>
      </c>
      <c r="J111" s="6" t="n"/>
      <c r="K111" s="13">
        <f>IFERROR(IF(VLOOKUP($H111,'Rate Card'!$A$26:$D$29,3,FALSE)&lt;VLOOKUP($B111,'Rate Card'!$A$33:$F$50,4,FALSE),1+VLOOKUP($B111,'Rate Card'!$A$33:$F$50,5,FALSE),1),"")</f>
        <v/>
      </c>
      <c r="L111" s="13">
        <f>IFERROR($E111*$G111*$I111*$J111*$K111,"")</f>
        <v/>
      </c>
      <c r="M111" s="12" t="n"/>
    </row>
    <row r="112">
      <c r="A112" s="12" t="n"/>
      <c r="B112" s="12" t="n"/>
      <c r="C112" s="11">
        <f>IFERROR(VLOOKUP($B112,'Rate Card'!$A$5:$C$22,2,FALSE),"")</f>
        <v/>
      </c>
      <c r="D112" s="12" t="n"/>
      <c r="E112" s="6" t="n"/>
      <c r="F112" s="11">
        <f>IFERROR(VLOOKUP($B112,'Rate Card'!$A$5:$C$22,3,FALSE),"")</f>
        <v/>
      </c>
      <c r="G112" s="13">
        <f>IFERROR(VLOOKUP($B112,'Rate Card'!$A$5:$G$22,MATCH($D112,'Rate Card'!$D$4:$G$4,0)+3,FALSE),"")</f>
        <v/>
      </c>
      <c r="H112" s="12" t="n"/>
      <c r="I112" s="13">
        <f>IFERROR(IF(VLOOKUP($B112,'Rate Card'!$A$33:$F$50,6,FALSE)=0,1,VLOOKUP($H112,'Rate Card'!$A$26:$D$29,2,FALSE)),"")</f>
        <v/>
      </c>
      <c r="J112" s="6" t="n"/>
      <c r="K112" s="13">
        <f>IFERROR(IF(VLOOKUP($H112,'Rate Card'!$A$26:$D$29,3,FALSE)&lt;VLOOKUP($B112,'Rate Card'!$A$33:$F$50,4,FALSE),1+VLOOKUP($B112,'Rate Card'!$A$33:$F$50,5,FALSE),1),"")</f>
        <v/>
      </c>
      <c r="L112" s="13">
        <f>IFERROR($E112*$G112*$I112*$J112*$K112,"")</f>
        <v/>
      </c>
      <c r="M112" s="12" t="n"/>
    </row>
    <row r="113">
      <c r="A113" s="12" t="n"/>
      <c r="B113" s="12" t="n"/>
      <c r="C113" s="11">
        <f>IFERROR(VLOOKUP($B113,'Rate Card'!$A$5:$C$22,2,FALSE),"")</f>
        <v/>
      </c>
      <c r="D113" s="12" t="n"/>
      <c r="E113" s="6" t="n"/>
      <c r="F113" s="11">
        <f>IFERROR(VLOOKUP($B113,'Rate Card'!$A$5:$C$22,3,FALSE),"")</f>
        <v/>
      </c>
      <c r="G113" s="13">
        <f>IFERROR(VLOOKUP($B113,'Rate Card'!$A$5:$G$22,MATCH($D113,'Rate Card'!$D$4:$G$4,0)+3,FALSE),"")</f>
        <v/>
      </c>
      <c r="H113" s="12" t="n"/>
      <c r="I113" s="13">
        <f>IFERROR(IF(VLOOKUP($B113,'Rate Card'!$A$33:$F$50,6,FALSE)=0,1,VLOOKUP($H113,'Rate Card'!$A$26:$D$29,2,FALSE)),"")</f>
        <v/>
      </c>
      <c r="J113" s="6" t="n"/>
      <c r="K113" s="13">
        <f>IFERROR(IF(VLOOKUP($H113,'Rate Card'!$A$26:$D$29,3,FALSE)&lt;VLOOKUP($B113,'Rate Card'!$A$33:$F$50,4,FALSE),1+VLOOKUP($B113,'Rate Card'!$A$33:$F$50,5,FALSE),1),"")</f>
        <v/>
      </c>
      <c r="L113" s="13">
        <f>IFERROR($E113*$G113*$I113*$J113*$K113,"")</f>
        <v/>
      </c>
      <c r="M113" s="12" t="n"/>
    </row>
    <row r="114">
      <c r="A114" s="12" t="n"/>
      <c r="B114" s="12" t="n"/>
      <c r="C114" s="11">
        <f>IFERROR(VLOOKUP($B114,'Rate Card'!$A$5:$C$22,2,FALSE),"")</f>
        <v/>
      </c>
      <c r="D114" s="12" t="n"/>
      <c r="E114" s="6" t="n"/>
      <c r="F114" s="11">
        <f>IFERROR(VLOOKUP($B114,'Rate Card'!$A$5:$C$22,3,FALSE),"")</f>
        <v/>
      </c>
      <c r="G114" s="13">
        <f>IFERROR(VLOOKUP($B114,'Rate Card'!$A$5:$G$22,MATCH($D114,'Rate Card'!$D$4:$G$4,0)+3,FALSE),"")</f>
        <v/>
      </c>
      <c r="H114" s="12" t="n"/>
      <c r="I114" s="13">
        <f>IFERROR(IF(VLOOKUP($B114,'Rate Card'!$A$33:$F$50,6,FALSE)=0,1,VLOOKUP($H114,'Rate Card'!$A$26:$D$29,2,FALSE)),"")</f>
        <v/>
      </c>
      <c r="J114" s="6" t="n"/>
      <c r="K114" s="13">
        <f>IFERROR(IF(VLOOKUP($H114,'Rate Card'!$A$26:$D$29,3,FALSE)&lt;VLOOKUP($B114,'Rate Card'!$A$33:$F$50,4,FALSE),1+VLOOKUP($B114,'Rate Card'!$A$33:$F$50,5,FALSE),1),"")</f>
        <v/>
      </c>
      <c r="L114" s="13">
        <f>IFERROR($E114*$G114*$I114*$J114*$K114,"")</f>
        <v/>
      </c>
      <c r="M114" s="12" t="n"/>
    </row>
    <row r="115">
      <c r="A115" s="12" t="n"/>
      <c r="B115" s="12" t="n"/>
      <c r="C115" s="11">
        <f>IFERROR(VLOOKUP($B115,'Rate Card'!$A$5:$C$22,2,FALSE),"")</f>
        <v/>
      </c>
      <c r="D115" s="12" t="n"/>
      <c r="E115" s="6" t="n"/>
      <c r="F115" s="11">
        <f>IFERROR(VLOOKUP($B115,'Rate Card'!$A$5:$C$22,3,FALSE),"")</f>
        <v/>
      </c>
      <c r="G115" s="13">
        <f>IFERROR(VLOOKUP($B115,'Rate Card'!$A$5:$G$22,MATCH($D115,'Rate Card'!$D$4:$G$4,0)+3,FALSE),"")</f>
        <v/>
      </c>
      <c r="H115" s="12" t="n"/>
      <c r="I115" s="13">
        <f>IFERROR(IF(VLOOKUP($B115,'Rate Card'!$A$33:$F$50,6,FALSE)=0,1,VLOOKUP($H115,'Rate Card'!$A$26:$D$29,2,FALSE)),"")</f>
        <v/>
      </c>
      <c r="J115" s="6" t="n"/>
      <c r="K115" s="13">
        <f>IFERROR(IF(VLOOKUP($H115,'Rate Card'!$A$26:$D$29,3,FALSE)&lt;VLOOKUP($B115,'Rate Card'!$A$33:$F$50,4,FALSE),1+VLOOKUP($B115,'Rate Card'!$A$33:$F$50,5,FALSE),1),"")</f>
        <v/>
      </c>
      <c r="L115" s="13">
        <f>IFERROR($E115*$G115*$I115*$J115*$K115,"")</f>
        <v/>
      </c>
      <c r="M115" s="12" t="n"/>
    </row>
    <row r="116">
      <c r="A116" s="12" t="n"/>
      <c r="B116" s="12" t="n"/>
      <c r="C116" s="11">
        <f>IFERROR(VLOOKUP($B116,'Rate Card'!$A$5:$C$22,2,FALSE),"")</f>
        <v/>
      </c>
      <c r="D116" s="12" t="n"/>
      <c r="E116" s="6" t="n"/>
      <c r="F116" s="11">
        <f>IFERROR(VLOOKUP($B116,'Rate Card'!$A$5:$C$22,3,FALSE),"")</f>
        <v/>
      </c>
      <c r="G116" s="13">
        <f>IFERROR(VLOOKUP($B116,'Rate Card'!$A$5:$G$22,MATCH($D116,'Rate Card'!$D$4:$G$4,0)+3,FALSE),"")</f>
        <v/>
      </c>
      <c r="H116" s="12" t="n"/>
      <c r="I116" s="13">
        <f>IFERROR(IF(VLOOKUP($B116,'Rate Card'!$A$33:$F$50,6,FALSE)=0,1,VLOOKUP($H116,'Rate Card'!$A$26:$D$29,2,FALSE)),"")</f>
        <v/>
      </c>
      <c r="J116" s="6" t="n"/>
      <c r="K116" s="13">
        <f>IFERROR(IF(VLOOKUP($H116,'Rate Card'!$A$26:$D$29,3,FALSE)&lt;VLOOKUP($B116,'Rate Card'!$A$33:$F$50,4,FALSE),1+VLOOKUP($B116,'Rate Card'!$A$33:$F$50,5,FALSE),1),"")</f>
        <v/>
      </c>
      <c r="L116" s="13">
        <f>IFERROR($E116*$G116*$I116*$J116*$K116,"")</f>
        <v/>
      </c>
      <c r="M116" s="12" t="n"/>
    </row>
    <row r="117">
      <c r="A117" s="12" t="n"/>
      <c r="B117" s="12" t="n"/>
      <c r="C117" s="11">
        <f>IFERROR(VLOOKUP($B117,'Rate Card'!$A$5:$C$22,2,FALSE),"")</f>
        <v/>
      </c>
      <c r="D117" s="12" t="n"/>
      <c r="E117" s="6" t="n"/>
      <c r="F117" s="11">
        <f>IFERROR(VLOOKUP($B117,'Rate Card'!$A$5:$C$22,3,FALSE),"")</f>
        <v/>
      </c>
      <c r="G117" s="13">
        <f>IFERROR(VLOOKUP($B117,'Rate Card'!$A$5:$G$22,MATCH($D117,'Rate Card'!$D$4:$G$4,0)+3,FALSE),"")</f>
        <v/>
      </c>
      <c r="H117" s="12" t="n"/>
      <c r="I117" s="13">
        <f>IFERROR(IF(VLOOKUP($B117,'Rate Card'!$A$33:$F$50,6,FALSE)=0,1,VLOOKUP($H117,'Rate Card'!$A$26:$D$29,2,FALSE)),"")</f>
        <v/>
      </c>
      <c r="J117" s="6" t="n"/>
      <c r="K117" s="13">
        <f>IFERROR(IF(VLOOKUP($H117,'Rate Card'!$A$26:$D$29,3,FALSE)&lt;VLOOKUP($B117,'Rate Card'!$A$33:$F$50,4,FALSE),1+VLOOKUP($B117,'Rate Card'!$A$33:$F$50,5,FALSE),1),"")</f>
        <v/>
      </c>
      <c r="L117" s="13">
        <f>IFERROR($E117*$G117*$I117*$J117*$K117,"")</f>
        <v/>
      </c>
      <c r="M117" s="12" t="n"/>
    </row>
    <row r="118">
      <c r="A118" s="12" t="n"/>
      <c r="B118" s="12" t="n"/>
      <c r="C118" s="11">
        <f>IFERROR(VLOOKUP($B118,'Rate Card'!$A$5:$C$22,2,FALSE),"")</f>
        <v/>
      </c>
      <c r="D118" s="12" t="n"/>
      <c r="E118" s="6" t="n"/>
      <c r="F118" s="11">
        <f>IFERROR(VLOOKUP($B118,'Rate Card'!$A$5:$C$22,3,FALSE),"")</f>
        <v/>
      </c>
      <c r="G118" s="13">
        <f>IFERROR(VLOOKUP($B118,'Rate Card'!$A$5:$G$22,MATCH($D118,'Rate Card'!$D$4:$G$4,0)+3,FALSE),"")</f>
        <v/>
      </c>
      <c r="H118" s="12" t="n"/>
      <c r="I118" s="13">
        <f>IFERROR(IF(VLOOKUP($B118,'Rate Card'!$A$33:$F$50,6,FALSE)=0,1,VLOOKUP($H118,'Rate Card'!$A$26:$D$29,2,FALSE)),"")</f>
        <v/>
      </c>
      <c r="J118" s="6" t="n"/>
      <c r="K118" s="13">
        <f>IFERROR(IF(VLOOKUP($H118,'Rate Card'!$A$26:$D$29,3,FALSE)&lt;VLOOKUP($B118,'Rate Card'!$A$33:$F$50,4,FALSE),1+VLOOKUP($B118,'Rate Card'!$A$33:$F$50,5,FALSE),1),"")</f>
        <v/>
      </c>
      <c r="L118" s="13">
        <f>IFERROR($E118*$G118*$I118*$J118*$K118,"")</f>
        <v/>
      </c>
      <c r="M118" s="12" t="n"/>
    </row>
    <row r="119">
      <c r="A119" s="12" t="n"/>
      <c r="B119" s="12" t="n"/>
      <c r="C119" s="11">
        <f>IFERROR(VLOOKUP($B119,'Rate Card'!$A$5:$C$22,2,FALSE),"")</f>
        <v/>
      </c>
      <c r="D119" s="12" t="n"/>
      <c r="E119" s="6" t="n"/>
      <c r="F119" s="11">
        <f>IFERROR(VLOOKUP($B119,'Rate Card'!$A$5:$C$22,3,FALSE),"")</f>
        <v/>
      </c>
      <c r="G119" s="13">
        <f>IFERROR(VLOOKUP($B119,'Rate Card'!$A$5:$G$22,MATCH($D119,'Rate Card'!$D$4:$G$4,0)+3,FALSE),"")</f>
        <v/>
      </c>
      <c r="H119" s="12" t="n"/>
      <c r="I119" s="13">
        <f>IFERROR(IF(VLOOKUP($B119,'Rate Card'!$A$33:$F$50,6,FALSE)=0,1,VLOOKUP($H119,'Rate Card'!$A$26:$D$29,2,FALSE)),"")</f>
        <v/>
      </c>
      <c r="J119" s="6" t="n"/>
      <c r="K119" s="13">
        <f>IFERROR(IF(VLOOKUP($H119,'Rate Card'!$A$26:$D$29,3,FALSE)&lt;VLOOKUP($B119,'Rate Card'!$A$33:$F$50,4,FALSE),1+VLOOKUP($B119,'Rate Card'!$A$33:$F$50,5,FALSE),1),"")</f>
        <v/>
      </c>
      <c r="L119" s="13">
        <f>IFERROR($E119*$G119*$I119*$J119*$K119,"")</f>
        <v/>
      </c>
      <c r="M119" s="12" t="n"/>
    </row>
    <row r="120">
      <c r="A120" s="12" t="n"/>
      <c r="B120" s="12" t="n"/>
      <c r="C120" s="11">
        <f>IFERROR(VLOOKUP($B120,'Rate Card'!$A$5:$C$22,2,FALSE),"")</f>
        <v/>
      </c>
      <c r="D120" s="12" t="n"/>
      <c r="E120" s="6" t="n"/>
      <c r="F120" s="11">
        <f>IFERROR(VLOOKUP($B120,'Rate Card'!$A$5:$C$22,3,FALSE),"")</f>
        <v/>
      </c>
      <c r="G120" s="13">
        <f>IFERROR(VLOOKUP($B120,'Rate Card'!$A$5:$G$22,MATCH($D120,'Rate Card'!$D$4:$G$4,0)+3,FALSE),"")</f>
        <v/>
      </c>
      <c r="H120" s="12" t="n"/>
      <c r="I120" s="13">
        <f>IFERROR(IF(VLOOKUP($B120,'Rate Card'!$A$33:$F$50,6,FALSE)=0,1,VLOOKUP($H120,'Rate Card'!$A$26:$D$29,2,FALSE)),"")</f>
        <v/>
      </c>
      <c r="J120" s="6" t="n"/>
      <c r="K120" s="13">
        <f>IFERROR(IF(VLOOKUP($H120,'Rate Card'!$A$26:$D$29,3,FALSE)&lt;VLOOKUP($B120,'Rate Card'!$A$33:$F$50,4,FALSE),1+VLOOKUP($B120,'Rate Card'!$A$33:$F$50,5,FALSE),1),"")</f>
        <v/>
      </c>
      <c r="L120" s="13">
        <f>IFERROR($E120*$G120*$I120*$J120*$K120,"")</f>
        <v/>
      </c>
      <c r="M120" s="12" t="n"/>
    </row>
    <row r="121">
      <c r="A121" s="12" t="n"/>
      <c r="B121" s="12" t="n"/>
      <c r="C121" s="11">
        <f>IFERROR(VLOOKUP($B121,'Rate Card'!$A$5:$C$22,2,FALSE),"")</f>
        <v/>
      </c>
      <c r="D121" s="12" t="n"/>
      <c r="E121" s="6" t="n"/>
      <c r="F121" s="11">
        <f>IFERROR(VLOOKUP($B121,'Rate Card'!$A$5:$C$22,3,FALSE),"")</f>
        <v/>
      </c>
      <c r="G121" s="13">
        <f>IFERROR(VLOOKUP($B121,'Rate Card'!$A$5:$G$22,MATCH($D121,'Rate Card'!$D$4:$G$4,0)+3,FALSE),"")</f>
        <v/>
      </c>
      <c r="H121" s="12" t="n"/>
      <c r="I121" s="13">
        <f>IFERROR(IF(VLOOKUP($B121,'Rate Card'!$A$33:$F$50,6,FALSE)=0,1,VLOOKUP($H121,'Rate Card'!$A$26:$D$29,2,FALSE)),"")</f>
        <v/>
      </c>
      <c r="J121" s="6" t="n"/>
      <c r="K121" s="13">
        <f>IFERROR(IF(VLOOKUP($H121,'Rate Card'!$A$26:$D$29,3,FALSE)&lt;VLOOKUP($B121,'Rate Card'!$A$33:$F$50,4,FALSE),1+VLOOKUP($B121,'Rate Card'!$A$33:$F$50,5,FALSE),1),"")</f>
        <v/>
      </c>
      <c r="L121" s="13">
        <f>IFERROR($E121*$G121*$I121*$J121*$K121,"")</f>
        <v/>
      </c>
      <c r="M121" s="12" t="n"/>
    </row>
    <row r="122">
      <c r="A122" s="12" t="n"/>
      <c r="B122" s="12" t="n"/>
      <c r="C122" s="11">
        <f>IFERROR(VLOOKUP($B122,'Rate Card'!$A$5:$C$22,2,FALSE),"")</f>
        <v/>
      </c>
      <c r="D122" s="12" t="n"/>
      <c r="E122" s="6" t="n"/>
      <c r="F122" s="11">
        <f>IFERROR(VLOOKUP($B122,'Rate Card'!$A$5:$C$22,3,FALSE),"")</f>
        <v/>
      </c>
      <c r="G122" s="13">
        <f>IFERROR(VLOOKUP($B122,'Rate Card'!$A$5:$G$22,MATCH($D122,'Rate Card'!$D$4:$G$4,0)+3,FALSE),"")</f>
        <v/>
      </c>
      <c r="H122" s="12" t="n"/>
      <c r="I122" s="13">
        <f>IFERROR(IF(VLOOKUP($B122,'Rate Card'!$A$33:$F$50,6,FALSE)=0,1,VLOOKUP($H122,'Rate Card'!$A$26:$D$29,2,FALSE)),"")</f>
        <v/>
      </c>
      <c r="J122" s="6" t="n"/>
      <c r="K122" s="13">
        <f>IFERROR(IF(VLOOKUP($H122,'Rate Card'!$A$26:$D$29,3,FALSE)&lt;VLOOKUP($B122,'Rate Card'!$A$33:$F$50,4,FALSE),1+VLOOKUP($B122,'Rate Card'!$A$33:$F$50,5,FALSE),1),"")</f>
        <v/>
      </c>
      <c r="L122" s="13">
        <f>IFERROR($E122*$G122*$I122*$J122*$K122,"")</f>
        <v/>
      </c>
      <c r="M122" s="12" t="n"/>
    </row>
    <row r="123">
      <c r="A123" s="12" t="n"/>
      <c r="B123" s="12" t="n"/>
      <c r="C123" s="11">
        <f>IFERROR(VLOOKUP($B123,'Rate Card'!$A$5:$C$22,2,FALSE),"")</f>
        <v/>
      </c>
      <c r="D123" s="12" t="n"/>
      <c r="E123" s="6" t="n"/>
      <c r="F123" s="11">
        <f>IFERROR(VLOOKUP($B123,'Rate Card'!$A$5:$C$22,3,FALSE),"")</f>
        <v/>
      </c>
      <c r="G123" s="13">
        <f>IFERROR(VLOOKUP($B123,'Rate Card'!$A$5:$G$22,MATCH($D123,'Rate Card'!$D$4:$G$4,0)+3,FALSE),"")</f>
        <v/>
      </c>
      <c r="H123" s="12" t="n"/>
      <c r="I123" s="13">
        <f>IFERROR(IF(VLOOKUP($B123,'Rate Card'!$A$33:$F$50,6,FALSE)=0,1,VLOOKUP($H123,'Rate Card'!$A$26:$D$29,2,FALSE)),"")</f>
        <v/>
      </c>
      <c r="J123" s="6" t="n"/>
      <c r="K123" s="13">
        <f>IFERROR(IF(VLOOKUP($H123,'Rate Card'!$A$26:$D$29,3,FALSE)&lt;VLOOKUP($B123,'Rate Card'!$A$33:$F$50,4,FALSE),1+VLOOKUP($B123,'Rate Card'!$A$33:$F$50,5,FALSE),1),"")</f>
        <v/>
      </c>
      <c r="L123" s="13">
        <f>IFERROR($E123*$G123*$I123*$J123*$K123,"")</f>
        <v/>
      </c>
      <c r="M123" s="12" t="n"/>
    </row>
    <row r="124">
      <c r="A124" s="12" t="n"/>
      <c r="B124" s="12" t="n"/>
      <c r="C124" s="11">
        <f>IFERROR(VLOOKUP($B124,'Rate Card'!$A$5:$C$22,2,FALSE),"")</f>
        <v/>
      </c>
      <c r="D124" s="12" t="n"/>
      <c r="E124" s="6" t="n"/>
      <c r="F124" s="11">
        <f>IFERROR(VLOOKUP($B124,'Rate Card'!$A$5:$C$22,3,FALSE),"")</f>
        <v/>
      </c>
      <c r="G124" s="13">
        <f>IFERROR(VLOOKUP($B124,'Rate Card'!$A$5:$G$22,MATCH($D124,'Rate Card'!$D$4:$G$4,0)+3,FALSE),"")</f>
        <v/>
      </c>
      <c r="H124" s="12" t="n"/>
      <c r="I124" s="13">
        <f>IFERROR(IF(VLOOKUP($B124,'Rate Card'!$A$33:$F$50,6,FALSE)=0,1,VLOOKUP($H124,'Rate Card'!$A$26:$D$29,2,FALSE)),"")</f>
        <v/>
      </c>
      <c r="J124" s="6" t="n"/>
      <c r="K124" s="13">
        <f>IFERROR(IF(VLOOKUP($H124,'Rate Card'!$A$26:$D$29,3,FALSE)&lt;VLOOKUP($B124,'Rate Card'!$A$33:$F$50,4,FALSE),1+VLOOKUP($B124,'Rate Card'!$A$33:$F$50,5,FALSE),1),"")</f>
        <v/>
      </c>
      <c r="L124" s="13">
        <f>IFERROR($E124*$G124*$I124*$J124*$K124,"")</f>
        <v/>
      </c>
      <c r="M124" s="12" t="n"/>
    </row>
    <row r="125">
      <c r="A125" s="12" t="n"/>
      <c r="B125" s="12" t="n"/>
      <c r="C125" s="11">
        <f>IFERROR(VLOOKUP($B125,'Rate Card'!$A$5:$C$22,2,FALSE),"")</f>
        <v/>
      </c>
      <c r="D125" s="12" t="n"/>
      <c r="E125" s="6" t="n"/>
      <c r="F125" s="11">
        <f>IFERROR(VLOOKUP($B125,'Rate Card'!$A$5:$C$22,3,FALSE),"")</f>
        <v/>
      </c>
      <c r="G125" s="13">
        <f>IFERROR(VLOOKUP($B125,'Rate Card'!$A$5:$G$22,MATCH($D125,'Rate Card'!$D$4:$G$4,0)+3,FALSE),"")</f>
        <v/>
      </c>
      <c r="H125" s="12" t="n"/>
      <c r="I125" s="13">
        <f>IFERROR(IF(VLOOKUP($B125,'Rate Card'!$A$33:$F$50,6,FALSE)=0,1,VLOOKUP($H125,'Rate Card'!$A$26:$D$29,2,FALSE)),"")</f>
        <v/>
      </c>
      <c r="J125" s="6" t="n"/>
      <c r="K125" s="13">
        <f>IFERROR(IF(VLOOKUP($H125,'Rate Card'!$A$26:$D$29,3,FALSE)&lt;VLOOKUP($B125,'Rate Card'!$A$33:$F$50,4,FALSE),1+VLOOKUP($B125,'Rate Card'!$A$33:$F$50,5,FALSE),1),"")</f>
        <v/>
      </c>
      <c r="L125" s="13">
        <f>IFERROR($E125*$G125*$I125*$J125*$K125,"")</f>
        <v/>
      </c>
      <c r="M125" s="12" t="n"/>
    </row>
    <row r="126">
      <c r="A126" s="12" t="n"/>
      <c r="B126" s="12" t="n"/>
      <c r="C126" s="11">
        <f>IFERROR(VLOOKUP($B126,'Rate Card'!$A$5:$C$22,2,FALSE),"")</f>
        <v/>
      </c>
      <c r="D126" s="12" t="n"/>
      <c r="E126" s="6" t="n"/>
      <c r="F126" s="11">
        <f>IFERROR(VLOOKUP($B126,'Rate Card'!$A$5:$C$22,3,FALSE),"")</f>
        <v/>
      </c>
      <c r="G126" s="13">
        <f>IFERROR(VLOOKUP($B126,'Rate Card'!$A$5:$G$22,MATCH($D126,'Rate Card'!$D$4:$G$4,0)+3,FALSE),"")</f>
        <v/>
      </c>
      <c r="H126" s="12" t="n"/>
      <c r="I126" s="13">
        <f>IFERROR(IF(VLOOKUP($B126,'Rate Card'!$A$33:$F$50,6,FALSE)=0,1,VLOOKUP($H126,'Rate Card'!$A$26:$D$29,2,FALSE)),"")</f>
        <v/>
      </c>
      <c r="J126" s="6" t="n"/>
      <c r="K126" s="13">
        <f>IFERROR(IF(VLOOKUP($H126,'Rate Card'!$A$26:$D$29,3,FALSE)&lt;VLOOKUP($B126,'Rate Card'!$A$33:$F$50,4,FALSE),1+VLOOKUP($B126,'Rate Card'!$A$33:$F$50,5,FALSE),1),"")</f>
        <v/>
      </c>
      <c r="L126" s="13">
        <f>IFERROR($E126*$G126*$I126*$J126*$K126,"")</f>
        <v/>
      </c>
      <c r="M126" s="12" t="n"/>
    </row>
    <row r="127">
      <c r="A127" s="12" t="n"/>
      <c r="B127" s="12" t="n"/>
      <c r="C127" s="11">
        <f>IFERROR(VLOOKUP($B127,'Rate Card'!$A$5:$C$22,2,FALSE),"")</f>
        <v/>
      </c>
      <c r="D127" s="12" t="n"/>
      <c r="E127" s="6" t="n"/>
      <c r="F127" s="11">
        <f>IFERROR(VLOOKUP($B127,'Rate Card'!$A$5:$C$22,3,FALSE),"")</f>
        <v/>
      </c>
      <c r="G127" s="13">
        <f>IFERROR(VLOOKUP($B127,'Rate Card'!$A$5:$G$22,MATCH($D127,'Rate Card'!$D$4:$G$4,0)+3,FALSE),"")</f>
        <v/>
      </c>
      <c r="H127" s="12" t="n"/>
      <c r="I127" s="13">
        <f>IFERROR(IF(VLOOKUP($B127,'Rate Card'!$A$33:$F$50,6,FALSE)=0,1,VLOOKUP($H127,'Rate Card'!$A$26:$D$29,2,FALSE)),"")</f>
        <v/>
      </c>
      <c r="J127" s="6" t="n"/>
      <c r="K127" s="13">
        <f>IFERROR(IF(VLOOKUP($H127,'Rate Card'!$A$26:$D$29,3,FALSE)&lt;VLOOKUP($B127,'Rate Card'!$A$33:$F$50,4,FALSE),1+VLOOKUP($B127,'Rate Card'!$A$33:$F$50,5,FALSE),1),"")</f>
        <v/>
      </c>
      <c r="L127" s="13">
        <f>IFERROR($E127*$G127*$I127*$J127*$K127,"")</f>
        <v/>
      </c>
      <c r="M127" s="12" t="n"/>
    </row>
    <row r="128">
      <c r="A128" s="12" t="n"/>
      <c r="B128" s="12" t="n"/>
      <c r="C128" s="11">
        <f>IFERROR(VLOOKUP($B128,'Rate Card'!$A$5:$C$22,2,FALSE),"")</f>
        <v/>
      </c>
      <c r="D128" s="12" t="n"/>
      <c r="E128" s="6" t="n"/>
      <c r="F128" s="11">
        <f>IFERROR(VLOOKUP($B128,'Rate Card'!$A$5:$C$22,3,FALSE),"")</f>
        <v/>
      </c>
      <c r="G128" s="13">
        <f>IFERROR(VLOOKUP($B128,'Rate Card'!$A$5:$G$22,MATCH($D128,'Rate Card'!$D$4:$G$4,0)+3,FALSE),"")</f>
        <v/>
      </c>
      <c r="H128" s="12" t="n"/>
      <c r="I128" s="13">
        <f>IFERROR(IF(VLOOKUP($B128,'Rate Card'!$A$33:$F$50,6,FALSE)=0,1,VLOOKUP($H128,'Rate Card'!$A$26:$D$29,2,FALSE)),"")</f>
        <v/>
      </c>
      <c r="J128" s="6" t="n"/>
      <c r="K128" s="13">
        <f>IFERROR(IF(VLOOKUP($H128,'Rate Card'!$A$26:$D$29,3,FALSE)&lt;VLOOKUP($B128,'Rate Card'!$A$33:$F$50,4,FALSE),1+VLOOKUP($B128,'Rate Card'!$A$33:$F$50,5,FALSE),1),"")</f>
        <v/>
      </c>
      <c r="L128" s="13">
        <f>IFERROR($E128*$G128*$I128*$J128*$K128,"")</f>
        <v/>
      </c>
      <c r="M128" s="12" t="n"/>
    </row>
    <row r="129">
      <c r="A129" s="12" t="n"/>
      <c r="B129" s="12" t="n"/>
      <c r="C129" s="11">
        <f>IFERROR(VLOOKUP($B129,'Rate Card'!$A$5:$C$22,2,FALSE),"")</f>
        <v/>
      </c>
      <c r="D129" s="12" t="n"/>
      <c r="E129" s="6" t="n"/>
      <c r="F129" s="11">
        <f>IFERROR(VLOOKUP($B129,'Rate Card'!$A$5:$C$22,3,FALSE),"")</f>
        <v/>
      </c>
      <c r="G129" s="13">
        <f>IFERROR(VLOOKUP($B129,'Rate Card'!$A$5:$G$22,MATCH($D129,'Rate Card'!$D$4:$G$4,0)+3,FALSE),"")</f>
        <v/>
      </c>
      <c r="H129" s="12" t="n"/>
      <c r="I129" s="13">
        <f>IFERROR(IF(VLOOKUP($B129,'Rate Card'!$A$33:$F$50,6,FALSE)=0,1,VLOOKUP($H129,'Rate Card'!$A$26:$D$29,2,FALSE)),"")</f>
        <v/>
      </c>
      <c r="J129" s="6" t="n"/>
      <c r="K129" s="13">
        <f>IFERROR(IF(VLOOKUP($H129,'Rate Card'!$A$26:$D$29,3,FALSE)&lt;VLOOKUP($B129,'Rate Card'!$A$33:$F$50,4,FALSE),1+VLOOKUP($B129,'Rate Card'!$A$33:$F$50,5,FALSE),1),"")</f>
        <v/>
      </c>
      <c r="L129" s="13">
        <f>IFERROR($E129*$G129*$I129*$J129*$K129,"")</f>
        <v/>
      </c>
      <c r="M129" s="12" t="n"/>
    </row>
    <row r="130">
      <c r="A130" s="12" t="n"/>
      <c r="B130" s="12" t="n"/>
      <c r="C130" s="11">
        <f>IFERROR(VLOOKUP($B130,'Rate Card'!$A$5:$C$22,2,FALSE),"")</f>
        <v/>
      </c>
      <c r="D130" s="12" t="n"/>
      <c r="E130" s="6" t="n"/>
      <c r="F130" s="11">
        <f>IFERROR(VLOOKUP($B130,'Rate Card'!$A$5:$C$22,3,FALSE),"")</f>
        <v/>
      </c>
      <c r="G130" s="13">
        <f>IFERROR(VLOOKUP($B130,'Rate Card'!$A$5:$G$22,MATCH($D130,'Rate Card'!$D$4:$G$4,0)+3,FALSE),"")</f>
        <v/>
      </c>
      <c r="H130" s="12" t="n"/>
      <c r="I130" s="13">
        <f>IFERROR(IF(VLOOKUP($B130,'Rate Card'!$A$33:$F$50,6,FALSE)=0,1,VLOOKUP($H130,'Rate Card'!$A$26:$D$29,2,FALSE)),"")</f>
        <v/>
      </c>
      <c r="J130" s="6" t="n"/>
      <c r="K130" s="13">
        <f>IFERROR(IF(VLOOKUP($H130,'Rate Card'!$A$26:$D$29,3,FALSE)&lt;VLOOKUP($B130,'Rate Card'!$A$33:$F$50,4,FALSE),1+VLOOKUP($B130,'Rate Card'!$A$33:$F$50,5,FALSE),1),"")</f>
        <v/>
      </c>
      <c r="L130" s="13">
        <f>IFERROR($E130*$G130*$I130*$J130*$K130,"")</f>
        <v/>
      </c>
      <c r="M130" s="12" t="n"/>
    </row>
    <row r="131">
      <c r="A131" s="12" t="n"/>
      <c r="B131" s="12" t="n"/>
      <c r="C131" s="11">
        <f>IFERROR(VLOOKUP($B131,'Rate Card'!$A$5:$C$22,2,FALSE),"")</f>
        <v/>
      </c>
      <c r="D131" s="12" t="n"/>
      <c r="E131" s="6" t="n"/>
      <c r="F131" s="11">
        <f>IFERROR(VLOOKUP($B131,'Rate Card'!$A$5:$C$22,3,FALSE),"")</f>
        <v/>
      </c>
      <c r="G131" s="13">
        <f>IFERROR(VLOOKUP($B131,'Rate Card'!$A$5:$G$22,MATCH($D131,'Rate Card'!$D$4:$G$4,0)+3,FALSE),"")</f>
        <v/>
      </c>
      <c r="H131" s="12" t="n"/>
      <c r="I131" s="13">
        <f>IFERROR(IF(VLOOKUP($B131,'Rate Card'!$A$33:$F$50,6,FALSE)=0,1,VLOOKUP($H131,'Rate Card'!$A$26:$D$29,2,FALSE)),"")</f>
        <v/>
      </c>
      <c r="J131" s="6" t="n"/>
      <c r="K131" s="13">
        <f>IFERROR(IF(VLOOKUP($H131,'Rate Card'!$A$26:$D$29,3,FALSE)&lt;VLOOKUP($B131,'Rate Card'!$A$33:$F$50,4,FALSE),1+VLOOKUP($B131,'Rate Card'!$A$33:$F$50,5,FALSE),1),"")</f>
        <v/>
      </c>
      <c r="L131" s="13">
        <f>IFERROR($E131*$G131*$I131*$J131*$K131,"")</f>
        <v/>
      </c>
      <c r="M131" s="12" t="n"/>
    </row>
    <row r="132">
      <c r="A132" s="12" t="n"/>
      <c r="B132" s="12" t="n"/>
      <c r="C132" s="11">
        <f>IFERROR(VLOOKUP($B132,'Rate Card'!$A$5:$C$22,2,FALSE),"")</f>
        <v/>
      </c>
      <c r="D132" s="12" t="n"/>
      <c r="E132" s="6" t="n"/>
      <c r="F132" s="11">
        <f>IFERROR(VLOOKUP($B132,'Rate Card'!$A$5:$C$22,3,FALSE),"")</f>
        <v/>
      </c>
      <c r="G132" s="13">
        <f>IFERROR(VLOOKUP($B132,'Rate Card'!$A$5:$G$22,MATCH($D132,'Rate Card'!$D$4:$G$4,0)+3,FALSE),"")</f>
        <v/>
      </c>
      <c r="H132" s="12" t="n"/>
      <c r="I132" s="13">
        <f>IFERROR(IF(VLOOKUP($B132,'Rate Card'!$A$33:$F$50,6,FALSE)=0,1,VLOOKUP($H132,'Rate Card'!$A$26:$D$29,2,FALSE)),"")</f>
        <v/>
      </c>
      <c r="J132" s="6" t="n"/>
      <c r="K132" s="13">
        <f>IFERROR(IF(VLOOKUP($H132,'Rate Card'!$A$26:$D$29,3,FALSE)&lt;VLOOKUP($B132,'Rate Card'!$A$33:$F$50,4,FALSE),1+VLOOKUP($B132,'Rate Card'!$A$33:$F$50,5,FALSE),1),"")</f>
        <v/>
      </c>
      <c r="L132" s="13">
        <f>IFERROR($E132*$G132*$I132*$J132*$K132,"")</f>
        <v/>
      </c>
      <c r="M132" s="12" t="n"/>
    </row>
    <row r="133">
      <c r="A133" s="12" t="n"/>
      <c r="B133" s="12" t="n"/>
      <c r="C133" s="11">
        <f>IFERROR(VLOOKUP($B133,'Rate Card'!$A$5:$C$22,2,FALSE),"")</f>
        <v/>
      </c>
      <c r="D133" s="12" t="n"/>
      <c r="E133" s="6" t="n"/>
      <c r="F133" s="11">
        <f>IFERROR(VLOOKUP($B133,'Rate Card'!$A$5:$C$22,3,FALSE),"")</f>
        <v/>
      </c>
      <c r="G133" s="13">
        <f>IFERROR(VLOOKUP($B133,'Rate Card'!$A$5:$G$22,MATCH($D133,'Rate Card'!$D$4:$G$4,0)+3,FALSE),"")</f>
        <v/>
      </c>
      <c r="H133" s="12" t="n"/>
      <c r="I133" s="13">
        <f>IFERROR(IF(VLOOKUP($B133,'Rate Card'!$A$33:$F$50,6,FALSE)=0,1,VLOOKUP($H133,'Rate Card'!$A$26:$D$29,2,FALSE)),"")</f>
        <v/>
      </c>
      <c r="J133" s="6" t="n"/>
      <c r="K133" s="13">
        <f>IFERROR(IF(VLOOKUP($H133,'Rate Card'!$A$26:$D$29,3,FALSE)&lt;VLOOKUP($B133,'Rate Card'!$A$33:$F$50,4,FALSE),1+VLOOKUP($B133,'Rate Card'!$A$33:$F$50,5,FALSE),1),"")</f>
        <v/>
      </c>
      <c r="L133" s="13">
        <f>IFERROR($E133*$G133*$I133*$J133*$K133,"")</f>
        <v/>
      </c>
      <c r="M133" s="12" t="n"/>
    </row>
    <row r="134">
      <c r="A134" s="12" t="n"/>
      <c r="B134" s="12" t="n"/>
      <c r="C134" s="11">
        <f>IFERROR(VLOOKUP($B134,'Rate Card'!$A$5:$C$22,2,FALSE),"")</f>
        <v/>
      </c>
      <c r="D134" s="12" t="n"/>
      <c r="E134" s="6" t="n"/>
      <c r="F134" s="11">
        <f>IFERROR(VLOOKUP($B134,'Rate Card'!$A$5:$C$22,3,FALSE),"")</f>
        <v/>
      </c>
      <c r="G134" s="13">
        <f>IFERROR(VLOOKUP($B134,'Rate Card'!$A$5:$G$22,MATCH($D134,'Rate Card'!$D$4:$G$4,0)+3,FALSE),"")</f>
        <v/>
      </c>
      <c r="H134" s="12" t="n"/>
      <c r="I134" s="13">
        <f>IFERROR(IF(VLOOKUP($B134,'Rate Card'!$A$33:$F$50,6,FALSE)=0,1,VLOOKUP($H134,'Rate Card'!$A$26:$D$29,2,FALSE)),"")</f>
        <v/>
      </c>
      <c r="J134" s="6" t="n"/>
      <c r="K134" s="13">
        <f>IFERROR(IF(VLOOKUP($H134,'Rate Card'!$A$26:$D$29,3,FALSE)&lt;VLOOKUP($B134,'Rate Card'!$A$33:$F$50,4,FALSE),1+VLOOKUP($B134,'Rate Card'!$A$33:$F$50,5,FALSE),1),"")</f>
        <v/>
      </c>
      <c r="L134" s="13">
        <f>IFERROR($E134*$G134*$I134*$J134*$K134,"")</f>
        <v/>
      </c>
      <c r="M134" s="12" t="n"/>
    </row>
    <row r="135">
      <c r="A135" s="12" t="n"/>
      <c r="B135" s="12" t="n"/>
      <c r="C135" s="11">
        <f>IFERROR(VLOOKUP($B135,'Rate Card'!$A$5:$C$22,2,FALSE),"")</f>
        <v/>
      </c>
      <c r="D135" s="12" t="n"/>
      <c r="E135" s="6" t="n"/>
      <c r="F135" s="11">
        <f>IFERROR(VLOOKUP($B135,'Rate Card'!$A$5:$C$22,3,FALSE),"")</f>
        <v/>
      </c>
      <c r="G135" s="13">
        <f>IFERROR(VLOOKUP($B135,'Rate Card'!$A$5:$G$22,MATCH($D135,'Rate Card'!$D$4:$G$4,0)+3,FALSE),"")</f>
        <v/>
      </c>
      <c r="H135" s="12" t="n"/>
      <c r="I135" s="13">
        <f>IFERROR(IF(VLOOKUP($B135,'Rate Card'!$A$33:$F$50,6,FALSE)=0,1,VLOOKUP($H135,'Rate Card'!$A$26:$D$29,2,FALSE)),"")</f>
        <v/>
      </c>
      <c r="J135" s="6" t="n"/>
      <c r="K135" s="13">
        <f>IFERROR(IF(VLOOKUP($H135,'Rate Card'!$A$26:$D$29,3,FALSE)&lt;VLOOKUP($B135,'Rate Card'!$A$33:$F$50,4,FALSE),1+VLOOKUP($B135,'Rate Card'!$A$33:$F$50,5,FALSE),1),"")</f>
        <v/>
      </c>
      <c r="L135" s="13">
        <f>IFERROR($E135*$G135*$I135*$J135*$K135,"")</f>
        <v/>
      </c>
      <c r="M135" s="12" t="n"/>
    </row>
    <row r="136">
      <c r="A136" s="12" t="n"/>
      <c r="B136" s="12" t="n"/>
      <c r="C136" s="11">
        <f>IFERROR(VLOOKUP($B136,'Rate Card'!$A$5:$C$22,2,FALSE),"")</f>
        <v/>
      </c>
      <c r="D136" s="12" t="n"/>
      <c r="E136" s="6" t="n"/>
      <c r="F136" s="11">
        <f>IFERROR(VLOOKUP($B136,'Rate Card'!$A$5:$C$22,3,FALSE),"")</f>
        <v/>
      </c>
      <c r="G136" s="13">
        <f>IFERROR(VLOOKUP($B136,'Rate Card'!$A$5:$G$22,MATCH($D136,'Rate Card'!$D$4:$G$4,0)+3,FALSE),"")</f>
        <v/>
      </c>
      <c r="H136" s="12" t="n"/>
      <c r="I136" s="13">
        <f>IFERROR(IF(VLOOKUP($B136,'Rate Card'!$A$33:$F$50,6,FALSE)=0,1,VLOOKUP($H136,'Rate Card'!$A$26:$D$29,2,FALSE)),"")</f>
        <v/>
      </c>
      <c r="J136" s="6" t="n"/>
      <c r="K136" s="13">
        <f>IFERROR(IF(VLOOKUP($H136,'Rate Card'!$A$26:$D$29,3,FALSE)&lt;VLOOKUP($B136,'Rate Card'!$A$33:$F$50,4,FALSE),1+VLOOKUP($B136,'Rate Card'!$A$33:$F$50,5,FALSE),1),"")</f>
        <v/>
      </c>
      <c r="L136" s="13">
        <f>IFERROR($E136*$G136*$I136*$J136*$K136,"")</f>
        <v/>
      </c>
      <c r="M136" s="12" t="n"/>
    </row>
    <row r="137">
      <c r="A137" s="12" t="n"/>
      <c r="B137" s="12" t="n"/>
      <c r="C137" s="11">
        <f>IFERROR(VLOOKUP($B137,'Rate Card'!$A$5:$C$22,2,FALSE),"")</f>
        <v/>
      </c>
      <c r="D137" s="12" t="n"/>
      <c r="E137" s="6" t="n"/>
      <c r="F137" s="11">
        <f>IFERROR(VLOOKUP($B137,'Rate Card'!$A$5:$C$22,3,FALSE),"")</f>
        <v/>
      </c>
      <c r="G137" s="13">
        <f>IFERROR(VLOOKUP($B137,'Rate Card'!$A$5:$G$22,MATCH($D137,'Rate Card'!$D$4:$G$4,0)+3,FALSE),"")</f>
        <v/>
      </c>
      <c r="H137" s="12" t="n"/>
      <c r="I137" s="13">
        <f>IFERROR(IF(VLOOKUP($B137,'Rate Card'!$A$33:$F$50,6,FALSE)=0,1,VLOOKUP($H137,'Rate Card'!$A$26:$D$29,2,FALSE)),"")</f>
        <v/>
      </c>
      <c r="J137" s="6" t="n"/>
      <c r="K137" s="13">
        <f>IFERROR(IF(VLOOKUP($H137,'Rate Card'!$A$26:$D$29,3,FALSE)&lt;VLOOKUP($B137,'Rate Card'!$A$33:$F$50,4,FALSE),1+VLOOKUP($B137,'Rate Card'!$A$33:$F$50,5,FALSE),1),"")</f>
        <v/>
      </c>
      <c r="L137" s="13">
        <f>IFERROR($E137*$G137*$I137*$J137*$K137,"")</f>
        <v/>
      </c>
      <c r="M137" s="12" t="n"/>
    </row>
    <row r="138">
      <c r="A138" s="12" t="n"/>
      <c r="B138" s="12" t="n"/>
      <c r="C138" s="11">
        <f>IFERROR(VLOOKUP($B138,'Rate Card'!$A$5:$C$22,2,FALSE),"")</f>
        <v/>
      </c>
      <c r="D138" s="12" t="n"/>
      <c r="E138" s="6" t="n"/>
      <c r="F138" s="11">
        <f>IFERROR(VLOOKUP($B138,'Rate Card'!$A$5:$C$22,3,FALSE),"")</f>
        <v/>
      </c>
      <c r="G138" s="13">
        <f>IFERROR(VLOOKUP($B138,'Rate Card'!$A$5:$G$22,MATCH($D138,'Rate Card'!$D$4:$G$4,0)+3,FALSE),"")</f>
        <v/>
      </c>
      <c r="H138" s="12" t="n"/>
      <c r="I138" s="13">
        <f>IFERROR(IF(VLOOKUP($B138,'Rate Card'!$A$33:$F$50,6,FALSE)=0,1,VLOOKUP($H138,'Rate Card'!$A$26:$D$29,2,FALSE)),"")</f>
        <v/>
      </c>
      <c r="J138" s="6" t="n"/>
      <c r="K138" s="13">
        <f>IFERROR(IF(VLOOKUP($H138,'Rate Card'!$A$26:$D$29,3,FALSE)&lt;VLOOKUP($B138,'Rate Card'!$A$33:$F$50,4,FALSE),1+VLOOKUP($B138,'Rate Card'!$A$33:$F$50,5,FALSE),1),"")</f>
        <v/>
      </c>
      <c r="L138" s="13">
        <f>IFERROR($E138*$G138*$I138*$J138*$K138,"")</f>
        <v/>
      </c>
      <c r="M138" s="12" t="n"/>
    </row>
    <row r="139">
      <c r="A139" s="12" t="n"/>
      <c r="B139" s="12" t="n"/>
      <c r="C139" s="11">
        <f>IFERROR(VLOOKUP($B139,'Rate Card'!$A$5:$C$22,2,FALSE),"")</f>
        <v/>
      </c>
      <c r="D139" s="12" t="n"/>
      <c r="E139" s="6" t="n"/>
      <c r="F139" s="11">
        <f>IFERROR(VLOOKUP($B139,'Rate Card'!$A$5:$C$22,3,FALSE),"")</f>
        <v/>
      </c>
      <c r="G139" s="13">
        <f>IFERROR(VLOOKUP($B139,'Rate Card'!$A$5:$G$22,MATCH($D139,'Rate Card'!$D$4:$G$4,0)+3,FALSE),"")</f>
        <v/>
      </c>
      <c r="H139" s="12" t="n"/>
      <c r="I139" s="13">
        <f>IFERROR(IF(VLOOKUP($B139,'Rate Card'!$A$33:$F$50,6,FALSE)=0,1,VLOOKUP($H139,'Rate Card'!$A$26:$D$29,2,FALSE)),"")</f>
        <v/>
      </c>
      <c r="J139" s="6" t="n"/>
      <c r="K139" s="13">
        <f>IFERROR(IF(VLOOKUP($H139,'Rate Card'!$A$26:$D$29,3,FALSE)&lt;VLOOKUP($B139,'Rate Card'!$A$33:$F$50,4,FALSE),1+VLOOKUP($B139,'Rate Card'!$A$33:$F$50,5,FALSE),1),"")</f>
        <v/>
      </c>
      <c r="L139" s="13">
        <f>IFERROR($E139*$G139*$I139*$J139*$K139,"")</f>
        <v/>
      </c>
      <c r="M139" s="12" t="n"/>
    </row>
    <row r="140">
      <c r="A140" s="12" t="n"/>
      <c r="B140" s="12" t="n"/>
      <c r="C140" s="11">
        <f>IFERROR(VLOOKUP($B140,'Rate Card'!$A$5:$C$22,2,FALSE),"")</f>
        <v/>
      </c>
      <c r="D140" s="12" t="n"/>
      <c r="E140" s="6" t="n"/>
      <c r="F140" s="11">
        <f>IFERROR(VLOOKUP($B140,'Rate Card'!$A$5:$C$22,3,FALSE),"")</f>
        <v/>
      </c>
      <c r="G140" s="13">
        <f>IFERROR(VLOOKUP($B140,'Rate Card'!$A$5:$G$22,MATCH($D140,'Rate Card'!$D$4:$G$4,0)+3,FALSE),"")</f>
        <v/>
      </c>
      <c r="H140" s="12" t="n"/>
      <c r="I140" s="13">
        <f>IFERROR(IF(VLOOKUP($B140,'Rate Card'!$A$33:$F$50,6,FALSE)=0,1,VLOOKUP($H140,'Rate Card'!$A$26:$D$29,2,FALSE)),"")</f>
        <v/>
      </c>
      <c r="J140" s="6" t="n"/>
      <c r="K140" s="13">
        <f>IFERROR(IF(VLOOKUP($H140,'Rate Card'!$A$26:$D$29,3,FALSE)&lt;VLOOKUP($B140,'Rate Card'!$A$33:$F$50,4,FALSE),1+VLOOKUP($B140,'Rate Card'!$A$33:$F$50,5,FALSE),1),"")</f>
        <v/>
      </c>
      <c r="L140" s="13">
        <f>IFERROR($E140*$G140*$I140*$J140*$K140,"")</f>
        <v/>
      </c>
      <c r="M140" s="12" t="n"/>
    </row>
    <row r="141">
      <c r="A141" s="12" t="n"/>
      <c r="B141" s="12" t="n"/>
      <c r="C141" s="11">
        <f>IFERROR(VLOOKUP($B141,'Rate Card'!$A$5:$C$22,2,FALSE),"")</f>
        <v/>
      </c>
      <c r="D141" s="12" t="n"/>
      <c r="E141" s="6" t="n"/>
      <c r="F141" s="11">
        <f>IFERROR(VLOOKUP($B141,'Rate Card'!$A$5:$C$22,3,FALSE),"")</f>
        <v/>
      </c>
      <c r="G141" s="13">
        <f>IFERROR(VLOOKUP($B141,'Rate Card'!$A$5:$G$22,MATCH($D141,'Rate Card'!$D$4:$G$4,0)+3,FALSE),"")</f>
        <v/>
      </c>
      <c r="H141" s="12" t="n"/>
      <c r="I141" s="13">
        <f>IFERROR(IF(VLOOKUP($B141,'Rate Card'!$A$33:$F$50,6,FALSE)=0,1,VLOOKUP($H141,'Rate Card'!$A$26:$D$29,2,FALSE)),"")</f>
        <v/>
      </c>
      <c r="J141" s="6" t="n"/>
      <c r="K141" s="13">
        <f>IFERROR(IF(VLOOKUP($H141,'Rate Card'!$A$26:$D$29,3,FALSE)&lt;VLOOKUP($B141,'Rate Card'!$A$33:$F$50,4,FALSE),1+VLOOKUP($B141,'Rate Card'!$A$33:$F$50,5,FALSE),1),"")</f>
        <v/>
      </c>
      <c r="L141" s="13">
        <f>IFERROR($E141*$G141*$I141*$J141*$K141,"")</f>
        <v/>
      </c>
      <c r="M141" s="12" t="n"/>
    </row>
    <row r="142">
      <c r="A142" s="12" t="n"/>
      <c r="B142" s="12" t="n"/>
      <c r="C142" s="11">
        <f>IFERROR(VLOOKUP($B142,'Rate Card'!$A$5:$C$22,2,FALSE),"")</f>
        <v/>
      </c>
      <c r="D142" s="12" t="n"/>
      <c r="E142" s="6" t="n"/>
      <c r="F142" s="11">
        <f>IFERROR(VLOOKUP($B142,'Rate Card'!$A$5:$C$22,3,FALSE),"")</f>
        <v/>
      </c>
      <c r="G142" s="13">
        <f>IFERROR(VLOOKUP($B142,'Rate Card'!$A$5:$G$22,MATCH($D142,'Rate Card'!$D$4:$G$4,0)+3,FALSE),"")</f>
        <v/>
      </c>
      <c r="H142" s="12" t="n"/>
      <c r="I142" s="13">
        <f>IFERROR(IF(VLOOKUP($B142,'Rate Card'!$A$33:$F$50,6,FALSE)=0,1,VLOOKUP($H142,'Rate Card'!$A$26:$D$29,2,FALSE)),"")</f>
        <v/>
      </c>
      <c r="J142" s="6" t="n"/>
      <c r="K142" s="13">
        <f>IFERROR(IF(VLOOKUP($H142,'Rate Card'!$A$26:$D$29,3,FALSE)&lt;VLOOKUP($B142,'Rate Card'!$A$33:$F$50,4,FALSE),1+VLOOKUP($B142,'Rate Card'!$A$33:$F$50,5,FALSE),1),"")</f>
        <v/>
      </c>
      <c r="L142" s="13">
        <f>IFERROR($E142*$G142*$I142*$J142*$K142,"")</f>
        <v/>
      </c>
      <c r="M142" s="12" t="n"/>
    </row>
    <row r="143">
      <c r="A143" s="12" t="n"/>
      <c r="B143" s="12" t="n"/>
      <c r="C143" s="11">
        <f>IFERROR(VLOOKUP($B143,'Rate Card'!$A$5:$C$22,2,FALSE),"")</f>
        <v/>
      </c>
      <c r="D143" s="12" t="n"/>
      <c r="E143" s="6" t="n"/>
      <c r="F143" s="11">
        <f>IFERROR(VLOOKUP($B143,'Rate Card'!$A$5:$C$22,3,FALSE),"")</f>
        <v/>
      </c>
      <c r="G143" s="13">
        <f>IFERROR(VLOOKUP($B143,'Rate Card'!$A$5:$G$22,MATCH($D143,'Rate Card'!$D$4:$G$4,0)+3,FALSE),"")</f>
        <v/>
      </c>
      <c r="H143" s="12" t="n"/>
      <c r="I143" s="13">
        <f>IFERROR(IF(VLOOKUP($B143,'Rate Card'!$A$33:$F$50,6,FALSE)=0,1,VLOOKUP($H143,'Rate Card'!$A$26:$D$29,2,FALSE)),"")</f>
        <v/>
      </c>
      <c r="J143" s="6" t="n"/>
      <c r="K143" s="13">
        <f>IFERROR(IF(VLOOKUP($H143,'Rate Card'!$A$26:$D$29,3,FALSE)&lt;VLOOKUP($B143,'Rate Card'!$A$33:$F$50,4,FALSE),1+VLOOKUP($B143,'Rate Card'!$A$33:$F$50,5,FALSE),1),"")</f>
        <v/>
      </c>
      <c r="L143" s="13">
        <f>IFERROR($E143*$G143*$I143*$J143*$K143,"")</f>
        <v/>
      </c>
      <c r="M143" s="12" t="n"/>
    </row>
    <row r="144">
      <c r="A144" s="12" t="n"/>
      <c r="B144" s="12" t="n"/>
      <c r="C144" s="11">
        <f>IFERROR(VLOOKUP($B144,'Rate Card'!$A$5:$C$22,2,FALSE),"")</f>
        <v/>
      </c>
      <c r="D144" s="12" t="n"/>
      <c r="E144" s="6" t="n"/>
      <c r="F144" s="11">
        <f>IFERROR(VLOOKUP($B144,'Rate Card'!$A$5:$C$22,3,FALSE),"")</f>
        <v/>
      </c>
      <c r="G144" s="13">
        <f>IFERROR(VLOOKUP($B144,'Rate Card'!$A$5:$G$22,MATCH($D144,'Rate Card'!$D$4:$G$4,0)+3,FALSE),"")</f>
        <v/>
      </c>
      <c r="H144" s="12" t="n"/>
      <c r="I144" s="13">
        <f>IFERROR(IF(VLOOKUP($B144,'Rate Card'!$A$33:$F$50,6,FALSE)=0,1,VLOOKUP($H144,'Rate Card'!$A$26:$D$29,2,FALSE)),"")</f>
        <v/>
      </c>
      <c r="J144" s="6" t="n"/>
      <c r="K144" s="13">
        <f>IFERROR(IF(VLOOKUP($H144,'Rate Card'!$A$26:$D$29,3,FALSE)&lt;VLOOKUP($B144,'Rate Card'!$A$33:$F$50,4,FALSE),1+VLOOKUP($B144,'Rate Card'!$A$33:$F$50,5,FALSE),1),"")</f>
        <v/>
      </c>
      <c r="L144" s="13">
        <f>IFERROR($E144*$G144*$I144*$J144*$K144,"")</f>
        <v/>
      </c>
      <c r="M144" s="12" t="n"/>
    </row>
    <row r="145">
      <c r="A145" s="12" t="n"/>
      <c r="B145" s="12" t="n"/>
      <c r="C145" s="11">
        <f>IFERROR(VLOOKUP($B145,'Rate Card'!$A$5:$C$22,2,FALSE),"")</f>
        <v/>
      </c>
      <c r="D145" s="12" t="n"/>
      <c r="E145" s="6" t="n"/>
      <c r="F145" s="11">
        <f>IFERROR(VLOOKUP($B145,'Rate Card'!$A$5:$C$22,3,FALSE),"")</f>
        <v/>
      </c>
      <c r="G145" s="13">
        <f>IFERROR(VLOOKUP($B145,'Rate Card'!$A$5:$G$22,MATCH($D145,'Rate Card'!$D$4:$G$4,0)+3,FALSE),"")</f>
        <v/>
      </c>
      <c r="H145" s="12" t="n"/>
      <c r="I145" s="13">
        <f>IFERROR(IF(VLOOKUP($B145,'Rate Card'!$A$33:$F$50,6,FALSE)=0,1,VLOOKUP($H145,'Rate Card'!$A$26:$D$29,2,FALSE)),"")</f>
        <v/>
      </c>
      <c r="J145" s="6" t="n"/>
      <c r="K145" s="13">
        <f>IFERROR(IF(VLOOKUP($H145,'Rate Card'!$A$26:$D$29,3,FALSE)&lt;VLOOKUP($B145,'Rate Card'!$A$33:$F$50,4,FALSE),1+VLOOKUP($B145,'Rate Card'!$A$33:$F$50,5,FALSE),1),"")</f>
        <v/>
      </c>
      <c r="L145" s="13">
        <f>IFERROR($E145*$G145*$I145*$J145*$K145,"")</f>
        <v/>
      </c>
      <c r="M145" s="12" t="n"/>
    </row>
    <row r="146">
      <c r="A146" s="12" t="n"/>
      <c r="B146" s="12" t="n"/>
      <c r="C146" s="11">
        <f>IFERROR(VLOOKUP($B146,'Rate Card'!$A$5:$C$22,2,FALSE),"")</f>
        <v/>
      </c>
      <c r="D146" s="12" t="n"/>
      <c r="E146" s="6" t="n"/>
      <c r="F146" s="11">
        <f>IFERROR(VLOOKUP($B146,'Rate Card'!$A$5:$C$22,3,FALSE),"")</f>
        <v/>
      </c>
      <c r="G146" s="13">
        <f>IFERROR(VLOOKUP($B146,'Rate Card'!$A$5:$G$22,MATCH($D146,'Rate Card'!$D$4:$G$4,0)+3,FALSE),"")</f>
        <v/>
      </c>
      <c r="H146" s="12" t="n"/>
      <c r="I146" s="13">
        <f>IFERROR(IF(VLOOKUP($B146,'Rate Card'!$A$33:$F$50,6,FALSE)=0,1,VLOOKUP($H146,'Rate Card'!$A$26:$D$29,2,FALSE)),"")</f>
        <v/>
      </c>
      <c r="J146" s="6" t="n"/>
      <c r="K146" s="13">
        <f>IFERROR(IF(VLOOKUP($H146,'Rate Card'!$A$26:$D$29,3,FALSE)&lt;VLOOKUP($B146,'Rate Card'!$A$33:$F$50,4,FALSE),1+VLOOKUP($B146,'Rate Card'!$A$33:$F$50,5,FALSE),1),"")</f>
        <v/>
      </c>
      <c r="L146" s="13">
        <f>IFERROR($E146*$G146*$I146*$J146*$K146,"")</f>
        <v/>
      </c>
      <c r="M146" s="12" t="n"/>
    </row>
    <row r="147">
      <c r="A147" s="12" t="n"/>
      <c r="B147" s="12" t="n"/>
      <c r="C147" s="11">
        <f>IFERROR(VLOOKUP($B147,'Rate Card'!$A$5:$C$22,2,FALSE),"")</f>
        <v/>
      </c>
      <c r="D147" s="12" t="n"/>
      <c r="E147" s="6" t="n"/>
      <c r="F147" s="11">
        <f>IFERROR(VLOOKUP($B147,'Rate Card'!$A$5:$C$22,3,FALSE),"")</f>
        <v/>
      </c>
      <c r="G147" s="13">
        <f>IFERROR(VLOOKUP($B147,'Rate Card'!$A$5:$G$22,MATCH($D147,'Rate Card'!$D$4:$G$4,0)+3,FALSE),"")</f>
        <v/>
      </c>
      <c r="H147" s="12" t="n"/>
      <c r="I147" s="13">
        <f>IFERROR(IF(VLOOKUP($B147,'Rate Card'!$A$33:$F$50,6,FALSE)=0,1,VLOOKUP($H147,'Rate Card'!$A$26:$D$29,2,FALSE)),"")</f>
        <v/>
      </c>
      <c r="J147" s="6" t="n"/>
      <c r="K147" s="13">
        <f>IFERROR(IF(VLOOKUP($H147,'Rate Card'!$A$26:$D$29,3,FALSE)&lt;VLOOKUP($B147,'Rate Card'!$A$33:$F$50,4,FALSE),1+VLOOKUP($B147,'Rate Card'!$A$33:$F$50,5,FALSE),1),"")</f>
        <v/>
      </c>
      <c r="L147" s="13">
        <f>IFERROR($E147*$G147*$I147*$J147*$K147,"")</f>
        <v/>
      </c>
      <c r="M147" s="12" t="n"/>
    </row>
    <row r="148">
      <c r="A148" s="12" t="n"/>
      <c r="B148" s="12" t="n"/>
      <c r="C148" s="11">
        <f>IFERROR(VLOOKUP($B148,'Rate Card'!$A$5:$C$22,2,FALSE),"")</f>
        <v/>
      </c>
      <c r="D148" s="12" t="n"/>
      <c r="E148" s="6" t="n"/>
      <c r="F148" s="11">
        <f>IFERROR(VLOOKUP($B148,'Rate Card'!$A$5:$C$22,3,FALSE),"")</f>
        <v/>
      </c>
      <c r="G148" s="13">
        <f>IFERROR(VLOOKUP($B148,'Rate Card'!$A$5:$G$22,MATCH($D148,'Rate Card'!$D$4:$G$4,0)+3,FALSE),"")</f>
        <v/>
      </c>
      <c r="H148" s="12" t="n"/>
      <c r="I148" s="13">
        <f>IFERROR(IF(VLOOKUP($B148,'Rate Card'!$A$33:$F$50,6,FALSE)=0,1,VLOOKUP($H148,'Rate Card'!$A$26:$D$29,2,FALSE)),"")</f>
        <v/>
      </c>
      <c r="J148" s="6" t="n"/>
      <c r="K148" s="13">
        <f>IFERROR(IF(VLOOKUP($H148,'Rate Card'!$A$26:$D$29,3,FALSE)&lt;VLOOKUP($B148,'Rate Card'!$A$33:$F$50,4,FALSE),1+VLOOKUP($B148,'Rate Card'!$A$33:$F$50,5,FALSE),1),"")</f>
        <v/>
      </c>
      <c r="L148" s="13">
        <f>IFERROR($E148*$G148*$I148*$J148*$K148,"")</f>
        <v/>
      </c>
      <c r="M148" s="12" t="n"/>
    </row>
    <row r="149">
      <c r="A149" s="12" t="n"/>
      <c r="B149" s="12" t="n"/>
      <c r="C149" s="11">
        <f>IFERROR(VLOOKUP($B149,'Rate Card'!$A$5:$C$22,2,FALSE),"")</f>
        <v/>
      </c>
      <c r="D149" s="12" t="n"/>
      <c r="E149" s="6" t="n"/>
      <c r="F149" s="11">
        <f>IFERROR(VLOOKUP($B149,'Rate Card'!$A$5:$C$22,3,FALSE),"")</f>
        <v/>
      </c>
      <c r="G149" s="13">
        <f>IFERROR(VLOOKUP($B149,'Rate Card'!$A$5:$G$22,MATCH($D149,'Rate Card'!$D$4:$G$4,0)+3,FALSE),"")</f>
        <v/>
      </c>
      <c r="H149" s="12" t="n"/>
      <c r="I149" s="13">
        <f>IFERROR(IF(VLOOKUP($B149,'Rate Card'!$A$33:$F$50,6,FALSE)=0,1,VLOOKUP($H149,'Rate Card'!$A$26:$D$29,2,FALSE)),"")</f>
        <v/>
      </c>
      <c r="J149" s="6" t="n"/>
      <c r="K149" s="13">
        <f>IFERROR(IF(VLOOKUP($H149,'Rate Card'!$A$26:$D$29,3,FALSE)&lt;VLOOKUP($B149,'Rate Card'!$A$33:$F$50,4,FALSE),1+VLOOKUP($B149,'Rate Card'!$A$33:$F$50,5,FALSE),1),"")</f>
        <v/>
      </c>
      <c r="L149" s="13">
        <f>IFERROR($E149*$G149*$I149*$J149*$K149,"")</f>
        <v/>
      </c>
      <c r="M149" s="12" t="n"/>
    </row>
    <row r="150">
      <c r="A150" s="12" t="n"/>
      <c r="B150" s="12" t="n"/>
      <c r="C150" s="11">
        <f>IFERROR(VLOOKUP($B150,'Rate Card'!$A$5:$C$22,2,FALSE),"")</f>
        <v/>
      </c>
      <c r="D150" s="12" t="n"/>
      <c r="E150" s="6" t="n"/>
      <c r="F150" s="11">
        <f>IFERROR(VLOOKUP($B150,'Rate Card'!$A$5:$C$22,3,FALSE),"")</f>
        <v/>
      </c>
      <c r="G150" s="13">
        <f>IFERROR(VLOOKUP($B150,'Rate Card'!$A$5:$G$22,MATCH($D150,'Rate Card'!$D$4:$G$4,0)+3,FALSE),"")</f>
        <v/>
      </c>
      <c r="H150" s="12" t="n"/>
      <c r="I150" s="13">
        <f>IFERROR(IF(VLOOKUP($B150,'Rate Card'!$A$33:$F$50,6,FALSE)=0,1,VLOOKUP($H150,'Rate Card'!$A$26:$D$29,2,FALSE)),"")</f>
        <v/>
      </c>
      <c r="J150" s="6" t="n"/>
      <c r="K150" s="13">
        <f>IFERROR(IF(VLOOKUP($H150,'Rate Card'!$A$26:$D$29,3,FALSE)&lt;VLOOKUP($B150,'Rate Card'!$A$33:$F$50,4,FALSE),1+VLOOKUP($B150,'Rate Card'!$A$33:$F$50,5,FALSE),1),"")</f>
        <v/>
      </c>
      <c r="L150" s="13">
        <f>IFERROR($E150*$G150*$I150*$J150*$K150,"")</f>
        <v/>
      </c>
      <c r="M150" s="12" t="n"/>
    </row>
    <row r="151">
      <c r="A151" s="12" t="n"/>
      <c r="B151" s="12" t="n"/>
      <c r="C151" s="11">
        <f>IFERROR(VLOOKUP($B151,'Rate Card'!$A$5:$C$22,2,FALSE),"")</f>
        <v/>
      </c>
      <c r="D151" s="12" t="n"/>
      <c r="E151" s="6" t="n"/>
      <c r="F151" s="11">
        <f>IFERROR(VLOOKUP($B151,'Rate Card'!$A$5:$C$22,3,FALSE),"")</f>
        <v/>
      </c>
      <c r="G151" s="13">
        <f>IFERROR(VLOOKUP($B151,'Rate Card'!$A$5:$G$22,MATCH($D151,'Rate Card'!$D$4:$G$4,0)+3,FALSE),"")</f>
        <v/>
      </c>
      <c r="H151" s="12" t="n"/>
      <c r="I151" s="13">
        <f>IFERROR(IF(VLOOKUP($B151,'Rate Card'!$A$33:$F$50,6,FALSE)=0,1,VLOOKUP($H151,'Rate Card'!$A$26:$D$29,2,FALSE)),"")</f>
        <v/>
      </c>
      <c r="J151" s="6" t="n"/>
      <c r="K151" s="13">
        <f>IFERROR(IF(VLOOKUP($H151,'Rate Card'!$A$26:$D$29,3,FALSE)&lt;VLOOKUP($B151,'Rate Card'!$A$33:$F$50,4,FALSE),1+VLOOKUP($B151,'Rate Card'!$A$33:$F$50,5,FALSE),1),"")</f>
        <v/>
      </c>
      <c r="L151" s="13">
        <f>IFERROR($E151*$G151*$I151*$J151*$K151,"")</f>
        <v/>
      </c>
      <c r="M151" s="12" t="n"/>
    </row>
    <row r="152">
      <c r="A152" s="12" t="n"/>
      <c r="B152" s="12" t="n"/>
      <c r="C152" s="11">
        <f>IFERROR(VLOOKUP($B152,'Rate Card'!$A$5:$C$22,2,FALSE),"")</f>
        <v/>
      </c>
      <c r="D152" s="12" t="n"/>
      <c r="E152" s="6" t="n"/>
      <c r="F152" s="11">
        <f>IFERROR(VLOOKUP($B152,'Rate Card'!$A$5:$C$22,3,FALSE),"")</f>
        <v/>
      </c>
      <c r="G152" s="13">
        <f>IFERROR(VLOOKUP($B152,'Rate Card'!$A$5:$G$22,MATCH($D152,'Rate Card'!$D$4:$G$4,0)+3,FALSE),"")</f>
        <v/>
      </c>
      <c r="H152" s="12" t="n"/>
      <c r="I152" s="13">
        <f>IFERROR(IF(VLOOKUP($B152,'Rate Card'!$A$33:$F$50,6,FALSE)=0,1,VLOOKUP($H152,'Rate Card'!$A$26:$D$29,2,FALSE)),"")</f>
        <v/>
      </c>
      <c r="J152" s="6" t="n"/>
      <c r="K152" s="13">
        <f>IFERROR(IF(VLOOKUP($H152,'Rate Card'!$A$26:$D$29,3,FALSE)&lt;VLOOKUP($B152,'Rate Card'!$A$33:$F$50,4,FALSE),1+VLOOKUP($B152,'Rate Card'!$A$33:$F$50,5,FALSE),1),"")</f>
        <v/>
      </c>
      <c r="L152" s="13">
        <f>IFERROR($E152*$G152*$I152*$J152*$K152,"")</f>
        <v/>
      </c>
      <c r="M152" s="12" t="n"/>
    </row>
    <row r="153">
      <c r="A153" s="12" t="n"/>
      <c r="B153" s="12" t="n"/>
      <c r="C153" s="11">
        <f>IFERROR(VLOOKUP($B153,'Rate Card'!$A$5:$C$22,2,FALSE),"")</f>
        <v/>
      </c>
      <c r="D153" s="12" t="n"/>
      <c r="E153" s="6" t="n"/>
      <c r="F153" s="11">
        <f>IFERROR(VLOOKUP($B153,'Rate Card'!$A$5:$C$22,3,FALSE),"")</f>
        <v/>
      </c>
      <c r="G153" s="13">
        <f>IFERROR(VLOOKUP($B153,'Rate Card'!$A$5:$G$22,MATCH($D153,'Rate Card'!$D$4:$G$4,0)+3,FALSE),"")</f>
        <v/>
      </c>
      <c r="H153" s="12" t="n"/>
      <c r="I153" s="13">
        <f>IFERROR(IF(VLOOKUP($B153,'Rate Card'!$A$33:$F$50,6,FALSE)=0,1,VLOOKUP($H153,'Rate Card'!$A$26:$D$29,2,FALSE)),"")</f>
        <v/>
      </c>
      <c r="J153" s="6" t="n"/>
      <c r="K153" s="13">
        <f>IFERROR(IF(VLOOKUP($H153,'Rate Card'!$A$26:$D$29,3,FALSE)&lt;VLOOKUP($B153,'Rate Card'!$A$33:$F$50,4,FALSE),1+VLOOKUP($B153,'Rate Card'!$A$33:$F$50,5,FALSE),1),"")</f>
        <v/>
      </c>
      <c r="L153" s="13">
        <f>IFERROR($E153*$G153*$I153*$J153*$K153,"")</f>
        <v/>
      </c>
      <c r="M153" s="12" t="n"/>
    </row>
    <row r="154">
      <c r="A154" s="12" t="n"/>
      <c r="B154" s="12" t="n"/>
      <c r="C154" s="11">
        <f>IFERROR(VLOOKUP($B154,'Rate Card'!$A$5:$C$22,2,FALSE),"")</f>
        <v/>
      </c>
      <c r="D154" s="12" t="n"/>
      <c r="E154" s="6" t="n"/>
      <c r="F154" s="11">
        <f>IFERROR(VLOOKUP($B154,'Rate Card'!$A$5:$C$22,3,FALSE),"")</f>
        <v/>
      </c>
      <c r="G154" s="13">
        <f>IFERROR(VLOOKUP($B154,'Rate Card'!$A$5:$G$22,MATCH($D154,'Rate Card'!$D$4:$G$4,0)+3,FALSE),"")</f>
        <v/>
      </c>
      <c r="H154" s="12" t="n"/>
      <c r="I154" s="13">
        <f>IFERROR(IF(VLOOKUP($B154,'Rate Card'!$A$33:$F$50,6,FALSE)=0,1,VLOOKUP($H154,'Rate Card'!$A$26:$D$29,2,FALSE)),"")</f>
        <v/>
      </c>
      <c r="J154" s="6" t="n"/>
      <c r="K154" s="13">
        <f>IFERROR(IF(VLOOKUP($H154,'Rate Card'!$A$26:$D$29,3,FALSE)&lt;VLOOKUP($B154,'Rate Card'!$A$33:$F$50,4,FALSE),1+VLOOKUP($B154,'Rate Card'!$A$33:$F$50,5,FALSE),1),"")</f>
        <v/>
      </c>
      <c r="L154" s="13">
        <f>IFERROR($E154*$G154*$I154*$J154*$K154,"")</f>
        <v/>
      </c>
      <c r="M154" s="12" t="n"/>
    </row>
    <row r="155">
      <c r="A155" s="12" t="n"/>
      <c r="B155" s="12" t="n"/>
      <c r="C155" s="11">
        <f>IFERROR(VLOOKUP($B155,'Rate Card'!$A$5:$C$22,2,FALSE),"")</f>
        <v/>
      </c>
      <c r="D155" s="12" t="n"/>
      <c r="E155" s="6" t="n"/>
      <c r="F155" s="11">
        <f>IFERROR(VLOOKUP($B155,'Rate Card'!$A$5:$C$22,3,FALSE),"")</f>
        <v/>
      </c>
      <c r="G155" s="13">
        <f>IFERROR(VLOOKUP($B155,'Rate Card'!$A$5:$G$22,MATCH($D155,'Rate Card'!$D$4:$G$4,0)+3,FALSE),"")</f>
        <v/>
      </c>
      <c r="H155" s="12" t="n"/>
      <c r="I155" s="13">
        <f>IFERROR(IF(VLOOKUP($B155,'Rate Card'!$A$33:$F$50,6,FALSE)=0,1,VLOOKUP($H155,'Rate Card'!$A$26:$D$29,2,FALSE)),"")</f>
        <v/>
      </c>
      <c r="J155" s="6" t="n"/>
      <c r="K155" s="13">
        <f>IFERROR(IF(VLOOKUP($H155,'Rate Card'!$A$26:$D$29,3,FALSE)&lt;VLOOKUP($B155,'Rate Card'!$A$33:$F$50,4,FALSE),1+VLOOKUP($B155,'Rate Card'!$A$33:$F$50,5,FALSE),1),"")</f>
        <v/>
      </c>
      <c r="L155" s="13">
        <f>IFERROR($E155*$G155*$I155*$J155*$K155,"")</f>
        <v/>
      </c>
      <c r="M155" s="12" t="n"/>
    </row>
    <row r="156">
      <c r="A156" s="12" t="n"/>
      <c r="B156" s="12" t="n"/>
      <c r="C156" s="11">
        <f>IFERROR(VLOOKUP($B156,'Rate Card'!$A$5:$C$22,2,FALSE),"")</f>
        <v/>
      </c>
      <c r="D156" s="12" t="n"/>
      <c r="E156" s="6" t="n"/>
      <c r="F156" s="11">
        <f>IFERROR(VLOOKUP($B156,'Rate Card'!$A$5:$C$22,3,FALSE),"")</f>
        <v/>
      </c>
      <c r="G156" s="13">
        <f>IFERROR(VLOOKUP($B156,'Rate Card'!$A$5:$G$22,MATCH($D156,'Rate Card'!$D$4:$G$4,0)+3,FALSE),"")</f>
        <v/>
      </c>
      <c r="H156" s="12" t="n"/>
      <c r="I156" s="13">
        <f>IFERROR(IF(VLOOKUP($B156,'Rate Card'!$A$33:$F$50,6,FALSE)=0,1,VLOOKUP($H156,'Rate Card'!$A$26:$D$29,2,FALSE)),"")</f>
        <v/>
      </c>
      <c r="J156" s="6" t="n"/>
      <c r="K156" s="13">
        <f>IFERROR(IF(VLOOKUP($H156,'Rate Card'!$A$26:$D$29,3,FALSE)&lt;VLOOKUP($B156,'Rate Card'!$A$33:$F$50,4,FALSE),1+VLOOKUP($B156,'Rate Card'!$A$33:$F$50,5,FALSE),1),"")</f>
        <v/>
      </c>
      <c r="L156" s="13">
        <f>IFERROR($E156*$G156*$I156*$J156*$K156,"")</f>
        <v/>
      </c>
      <c r="M156" s="12" t="n"/>
    </row>
    <row r="157">
      <c r="A157" s="12" t="n"/>
      <c r="B157" s="12" t="n"/>
      <c r="C157" s="11">
        <f>IFERROR(VLOOKUP($B157,'Rate Card'!$A$5:$C$22,2,FALSE),"")</f>
        <v/>
      </c>
      <c r="D157" s="12" t="n"/>
      <c r="E157" s="6" t="n"/>
      <c r="F157" s="11">
        <f>IFERROR(VLOOKUP($B157,'Rate Card'!$A$5:$C$22,3,FALSE),"")</f>
        <v/>
      </c>
      <c r="G157" s="13">
        <f>IFERROR(VLOOKUP($B157,'Rate Card'!$A$5:$G$22,MATCH($D157,'Rate Card'!$D$4:$G$4,0)+3,FALSE),"")</f>
        <v/>
      </c>
      <c r="H157" s="12" t="n"/>
      <c r="I157" s="13">
        <f>IFERROR(IF(VLOOKUP($B157,'Rate Card'!$A$33:$F$50,6,FALSE)=0,1,VLOOKUP($H157,'Rate Card'!$A$26:$D$29,2,FALSE)),"")</f>
        <v/>
      </c>
      <c r="J157" s="6" t="n"/>
      <c r="K157" s="13">
        <f>IFERROR(IF(VLOOKUP($H157,'Rate Card'!$A$26:$D$29,3,FALSE)&lt;VLOOKUP($B157,'Rate Card'!$A$33:$F$50,4,FALSE),1+VLOOKUP($B157,'Rate Card'!$A$33:$F$50,5,FALSE),1),"")</f>
        <v/>
      </c>
      <c r="L157" s="13">
        <f>IFERROR($E157*$G157*$I157*$J157*$K157,"")</f>
        <v/>
      </c>
      <c r="M157" s="12" t="n"/>
    </row>
    <row r="158">
      <c r="A158" s="12" t="n"/>
      <c r="B158" s="12" t="n"/>
      <c r="C158" s="11">
        <f>IFERROR(VLOOKUP($B158,'Rate Card'!$A$5:$C$22,2,FALSE),"")</f>
        <v/>
      </c>
      <c r="D158" s="12" t="n"/>
      <c r="E158" s="6" t="n"/>
      <c r="F158" s="11">
        <f>IFERROR(VLOOKUP($B158,'Rate Card'!$A$5:$C$22,3,FALSE),"")</f>
        <v/>
      </c>
      <c r="G158" s="13">
        <f>IFERROR(VLOOKUP($B158,'Rate Card'!$A$5:$G$22,MATCH($D158,'Rate Card'!$D$4:$G$4,0)+3,FALSE),"")</f>
        <v/>
      </c>
      <c r="H158" s="12" t="n"/>
      <c r="I158" s="13">
        <f>IFERROR(IF(VLOOKUP($B158,'Rate Card'!$A$33:$F$50,6,FALSE)=0,1,VLOOKUP($H158,'Rate Card'!$A$26:$D$29,2,FALSE)),"")</f>
        <v/>
      </c>
      <c r="J158" s="6" t="n"/>
      <c r="K158" s="13">
        <f>IFERROR(IF(VLOOKUP($H158,'Rate Card'!$A$26:$D$29,3,FALSE)&lt;VLOOKUP($B158,'Rate Card'!$A$33:$F$50,4,FALSE),1+VLOOKUP($B158,'Rate Card'!$A$33:$F$50,5,FALSE),1),"")</f>
        <v/>
      </c>
      <c r="L158" s="13">
        <f>IFERROR($E158*$G158*$I158*$J158*$K158,"")</f>
        <v/>
      </c>
      <c r="M158" s="12" t="n"/>
    </row>
    <row r="159">
      <c r="A159" s="12" t="n"/>
      <c r="B159" s="12" t="n"/>
      <c r="C159" s="11">
        <f>IFERROR(VLOOKUP($B159,'Rate Card'!$A$5:$C$22,2,FALSE),"")</f>
        <v/>
      </c>
      <c r="D159" s="12" t="n"/>
      <c r="E159" s="6" t="n"/>
      <c r="F159" s="11">
        <f>IFERROR(VLOOKUP($B159,'Rate Card'!$A$5:$C$22,3,FALSE),"")</f>
        <v/>
      </c>
      <c r="G159" s="13">
        <f>IFERROR(VLOOKUP($B159,'Rate Card'!$A$5:$G$22,MATCH($D159,'Rate Card'!$D$4:$G$4,0)+3,FALSE),"")</f>
        <v/>
      </c>
      <c r="H159" s="12" t="n"/>
      <c r="I159" s="13">
        <f>IFERROR(IF(VLOOKUP($B159,'Rate Card'!$A$33:$F$50,6,FALSE)=0,1,VLOOKUP($H159,'Rate Card'!$A$26:$D$29,2,FALSE)),"")</f>
        <v/>
      </c>
      <c r="J159" s="6" t="n"/>
      <c r="K159" s="13">
        <f>IFERROR(IF(VLOOKUP($H159,'Rate Card'!$A$26:$D$29,3,FALSE)&lt;VLOOKUP($B159,'Rate Card'!$A$33:$F$50,4,FALSE),1+VLOOKUP($B159,'Rate Card'!$A$33:$F$50,5,FALSE),1),"")</f>
        <v/>
      </c>
      <c r="L159" s="13">
        <f>IFERROR($E159*$G159*$I159*$J159*$K159,"")</f>
        <v/>
      </c>
      <c r="M159" s="12" t="n"/>
    </row>
    <row r="160">
      <c r="A160" s="12" t="n"/>
      <c r="B160" s="12" t="n"/>
      <c r="C160" s="11">
        <f>IFERROR(VLOOKUP($B160,'Rate Card'!$A$5:$C$22,2,FALSE),"")</f>
        <v/>
      </c>
      <c r="D160" s="12" t="n"/>
      <c r="E160" s="6" t="n"/>
      <c r="F160" s="11">
        <f>IFERROR(VLOOKUP($B160,'Rate Card'!$A$5:$C$22,3,FALSE),"")</f>
        <v/>
      </c>
      <c r="G160" s="13">
        <f>IFERROR(VLOOKUP($B160,'Rate Card'!$A$5:$G$22,MATCH($D160,'Rate Card'!$D$4:$G$4,0)+3,FALSE),"")</f>
        <v/>
      </c>
      <c r="H160" s="12" t="n"/>
      <c r="I160" s="13">
        <f>IFERROR(IF(VLOOKUP($B160,'Rate Card'!$A$33:$F$50,6,FALSE)=0,1,VLOOKUP($H160,'Rate Card'!$A$26:$D$29,2,FALSE)),"")</f>
        <v/>
      </c>
      <c r="J160" s="6" t="n"/>
      <c r="K160" s="13">
        <f>IFERROR(IF(VLOOKUP($H160,'Rate Card'!$A$26:$D$29,3,FALSE)&lt;VLOOKUP($B160,'Rate Card'!$A$33:$F$50,4,FALSE),1+VLOOKUP($B160,'Rate Card'!$A$33:$F$50,5,FALSE),1),"")</f>
        <v/>
      </c>
      <c r="L160" s="13">
        <f>IFERROR($E160*$G160*$I160*$J160*$K160,"")</f>
        <v/>
      </c>
      <c r="M160" s="12" t="n"/>
    </row>
    <row r="161">
      <c r="A161" s="12" t="n"/>
      <c r="B161" s="12" t="n"/>
      <c r="C161" s="11">
        <f>IFERROR(VLOOKUP($B161,'Rate Card'!$A$5:$C$22,2,FALSE),"")</f>
        <v/>
      </c>
      <c r="D161" s="12" t="n"/>
      <c r="E161" s="6" t="n"/>
      <c r="F161" s="11">
        <f>IFERROR(VLOOKUP($B161,'Rate Card'!$A$5:$C$22,3,FALSE),"")</f>
        <v/>
      </c>
      <c r="G161" s="13">
        <f>IFERROR(VLOOKUP($B161,'Rate Card'!$A$5:$G$22,MATCH($D161,'Rate Card'!$D$4:$G$4,0)+3,FALSE),"")</f>
        <v/>
      </c>
      <c r="H161" s="12" t="n"/>
      <c r="I161" s="13">
        <f>IFERROR(IF(VLOOKUP($B161,'Rate Card'!$A$33:$F$50,6,FALSE)=0,1,VLOOKUP($H161,'Rate Card'!$A$26:$D$29,2,FALSE)),"")</f>
        <v/>
      </c>
      <c r="J161" s="6" t="n"/>
      <c r="K161" s="13">
        <f>IFERROR(IF(VLOOKUP($H161,'Rate Card'!$A$26:$D$29,3,FALSE)&lt;VLOOKUP($B161,'Rate Card'!$A$33:$F$50,4,FALSE),1+VLOOKUP($B161,'Rate Card'!$A$33:$F$50,5,FALSE),1),"")</f>
        <v/>
      </c>
      <c r="L161" s="13">
        <f>IFERROR($E161*$G161*$I161*$J161*$K161,"")</f>
        <v/>
      </c>
      <c r="M161" s="12" t="n"/>
    </row>
    <row r="162">
      <c r="A162" s="12" t="n"/>
      <c r="B162" s="12" t="n"/>
      <c r="C162" s="11">
        <f>IFERROR(VLOOKUP($B162,'Rate Card'!$A$5:$C$22,2,FALSE),"")</f>
        <v/>
      </c>
      <c r="D162" s="12" t="n"/>
      <c r="E162" s="6" t="n"/>
      <c r="F162" s="11">
        <f>IFERROR(VLOOKUP($B162,'Rate Card'!$A$5:$C$22,3,FALSE),"")</f>
        <v/>
      </c>
      <c r="G162" s="13">
        <f>IFERROR(VLOOKUP($B162,'Rate Card'!$A$5:$G$22,MATCH($D162,'Rate Card'!$D$4:$G$4,0)+3,FALSE),"")</f>
        <v/>
      </c>
      <c r="H162" s="12" t="n"/>
      <c r="I162" s="13">
        <f>IFERROR(IF(VLOOKUP($B162,'Rate Card'!$A$33:$F$50,6,FALSE)=0,1,VLOOKUP($H162,'Rate Card'!$A$26:$D$29,2,FALSE)),"")</f>
        <v/>
      </c>
      <c r="J162" s="6" t="n"/>
      <c r="K162" s="13">
        <f>IFERROR(IF(VLOOKUP($H162,'Rate Card'!$A$26:$D$29,3,FALSE)&lt;VLOOKUP($B162,'Rate Card'!$A$33:$F$50,4,FALSE),1+VLOOKUP($B162,'Rate Card'!$A$33:$F$50,5,FALSE),1),"")</f>
        <v/>
      </c>
      <c r="L162" s="13">
        <f>IFERROR($E162*$G162*$I162*$J162*$K162,"")</f>
        <v/>
      </c>
      <c r="M162" s="12" t="n"/>
    </row>
    <row r="163">
      <c r="A163" s="12" t="n"/>
      <c r="B163" s="12" t="n"/>
      <c r="C163" s="11">
        <f>IFERROR(VLOOKUP($B163,'Rate Card'!$A$5:$C$22,2,FALSE),"")</f>
        <v/>
      </c>
      <c r="D163" s="12" t="n"/>
      <c r="E163" s="6" t="n"/>
      <c r="F163" s="11">
        <f>IFERROR(VLOOKUP($B163,'Rate Card'!$A$5:$C$22,3,FALSE),"")</f>
        <v/>
      </c>
      <c r="G163" s="13">
        <f>IFERROR(VLOOKUP($B163,'Rate Card'!$A$5:$G$22,MATCH($D163,'Rate Card'!$D$4:$G$4,0)+3,FALSE),"")</f>
        <v/>
      </c>
      <c r="H163" s="12" t="n"/>
      <c r="I163" s="13">
        <f>IFERROR(IF(VLOOKUP($B163,'Rate Card'!$A$33:$F$50,6,FALSE)=0,1,VLOOKUP($H163,'Rate Card'!$A$26:$D$29,2,FALSE)),"")</f>
        <v/>
      </c>
      <c r="J163" s="6" t="n"/>
      <c r="K163" s="13">
        <f>IFERROR(IF(VLOOKUP($H163,'Rate Card'!$A$26:$D$29,3,FALSE)&lt;VLOOKUP($B163,'Rate Card'!$A$33:$F$50,4,FALSE),1+VLOOKUP($B163,'Rate Card'!$A$33:$F$50,5,FALSE),1),"")</f>
        <v/>
      </c>
      <c r="L163" s="13">
        <f>IFERROR($E163*$G163*$I163*$J163*$K163,"")</f>
        <v/>
      </c>
      <c r="M163" s="12" t="n"/>
    </row>
    <row r="164">
      <c r="A164" s="12" t="n"/>
      <c r="B164" s="12" t="n"/>
      <c r="C164" s="11">
        <f>IFERROR(VLOOKUP($B164,'Rate Card'!$A$5:$C$22,2,FALSE),"")</f>
        <v/>
      </c>
      <c r="D164" s="12" t="n"/>
      <c r="E164" s="6" t="n"/>
      <c r="F164" s="11">
        <f>IFERROR(VLOOKUP($B164,'Rate Card'!$A$5:$C$22,3,FALSE),"")</f>
        <v/>
      </c>
      <c r="G164" s="13">
        <f>IFERROR(VLOOKUP($B164,'Rate Card'!$A$5:$G$22,MATCH($D164,'Rate Card'!$D$4:$G$4,0)+3,FALSE),"")</f>
        <v/>
      </c>
      <c r="H164" s="12" t="n"/>
      <c r="I164" s="13">
        <f>IFERROR(IF(VLOOKUP($B164,'Rate Card'!$A$33:$F$50,6,FALSE)=0,1,VLOOKUP($H164,'Rate Card'!$A$26:$D$29,2,FALSE)),"")</f>
        <v/>
      </c>
      <c r="J164" s="6" t="n"/>
      <c r="K164" s="13">
        <f>IFERROR(IF(VLOOKUP($H164,'Rate Card'!$A$26:$D$29,3,FALSE)&lt;VLOOKUP($B164,'Rate Card'!$A$33:$F$50,4,FALSE),1+VLOOKUP($B164,'Rate Card'!$A$33:$F$50,5,FALSE),1),"")</f>
        <v/>
      </c>
      <c r="L164" s="13">
        <f>IFERROR($E164*$G164*$I164*$J164*$K164,"")</f>
        <v/>
      </c>
      <c r="M164" s="12" t="n"/>
    </row>
    <row r="165">
      <c r="A165" s="12" t="n"/>
      <c r="B165" s="12" t="n"/>
      <c r="C165" s="11">
        <f>IFERROR(VLOOKUP($B165,'Rate Card'!$A$5:$C$22,2,FALSE),"")</f>
        <v/>
      </c>
      <c r="D165" s="12" t="n"/>
      <c r="E165" s="6" t="n"/>
      <c r="F165" s="11">
        <f>IFERROR(VLOOKUP($B165,'Rate Card'!$A$5:$C$22,3,FALSE),"")</f>
        <v/>
      </c>
      <c r="G165" s="13">
        <f>IFERROR(VLOOKUP($B165,'Rate Card'!$A$5:$G$22,MATCH($D165,'Rate Card'!$D$4:$G$4,0)+3,FALSE),"")</f>
        <v/>
      </c>
      <c r="H165" s="12" t="n"/>
      <c r="I165" s="13">
        <f>IFERROR(IF(VLOOKUP($B165,'Rate Card'!$A$33:$F$50,6,FALSE)=0,1,VLOOKUP($H165,'Rate Card'!$A$26:$D$29,2,FALSE)),"")</f>
        <v/>
      </c>
      <c r="J165" s="6" t="n"/>
      <c r="K165" s="13">
        <f>IFERROR(IF(VLOOKUP($H165,'Rate Card'!$A$26:$D$29,3,FALSE)&lt;VLOOKUP($B165,'Rate Card'!$A$33:$F$50,4,FALSE),1+VLOOKUP($B165,'Rate Card'!$A$33:$F$50,5,FALSE),1),"")</f>
        <v/>
      </c>
      <c r="L165" s="13">
        <f>IFERROR($E165*$G165*$I165*$J165*$K165,"")</f>
        <v/>
      </c>
      <c r="M165" s="12" t="n"/>
    </row>
    <row r="166">
      <c r="A166" s="12" t="n"/>
      <c r="B166" s="12" t="n"/>
      <c r="C166" s="11">
        <f>IFERROR(VLOOKUP($B166,'Rate Card'!$A$5:$C$22,2,FALSE),"")</f>
        <v/>
      </c>
      <c r="D166" s="12" t="n"/>
      <c r="E166" s="6" t="n"/>
      <c r="F166" s="11">
        <f>IFERROR(VLOOKUP($B166,'Rate Card'!$A$5:$C$22,3,FALSE),"")</f>
        <v/>
      </c>
      <c r="G166" s="13">
        <f>IFERROR(VLOOKUP($B166,'Rate Card'!$A$5:$G$22,MATCH($D166,'Rate Card'!$D$4:$G$4,0)+3,FALSE),"")</f>
        <v/>
      </c>
      <c r="H166" s="12" t="n"/>
      <c r="I166" s="13">
        <f>IFERROR(IF(VLOOKUP($B166,'Rate Card'!$A$33:$F$50,6,FALSE)=0,1,VLOOKUP($H166,'Rate Card'!$A$26:$D$29,2,FALSE)),"")</f>
        <v/>
      </c>
      <c r="J166" s="6" t="n"/>
      <c r="K166" s="13">
        <f>IFERROR(IF(VLOOKUP($H166,'Rate Card'!$A$26:$D$29,3,FALSE)&lt;VLOOKUP($B166,'Rate Card'!$A$33:$F$50,4,FALSE),1+VLOOKUP($B166,'Rate Card'!$A$33:$F$50,5,FALSE),1),"")</f>
        <v/>
      </c>
      <c r="L166" s="13">
        <f>IFERROR($E166*$G166*$I166*$J166*$K166,"")</f>
        <v/>
      </c>
      <c r="M166" s="12" t="n"/>
    </row>
    <row r="167">
      <c r="A167" s="12" t="n"/>
      <c r="B167" s="12" t="n"/>
      <c r="C167" s="11">
        <f>IFERROR(VLOOKUP($B167,'Rate Card'!$A$5:$C$22,2,FALSE),"")</f>
        <v/>
      </c>
      <c r="D167" s="12" t="n"/>
      <c r="E167" s="6" t="n"/>
      <c r="F167" s="11">
        <f>IFERROR(VLOOKUP($B167,'Rate Card'!$A$5:$C$22,3,FALSE),"")</f>
        <v/>
      </c>
      <c r="G167" s="13">
        <f>IFERROR(VLOOKUP($B167,'Rate Card'!$A$5:$G$22,MATCH($D167,'Rate Card'!$D$4:$G$4,0)+3,FALSE),"")</f>
        <v/>
      </c>
      <c r="H167" s="12" t="n"/>
      <c r="I167" s="13">
        <f>IFERROR(IF(VLOOKUP($B167,'Rate Card'!$A$33:$F$50,6,FALSE)=0,1,VLOOKUP($H167,'Rate Card'!$A$26:$D$29,2,FALSE)),"")</f>
        <v/>
      </c>
      <c r="J167" s="6" t="n"/>
      <c r="K167" s="13">
        <f>IFERROR(IF(VLOOKUP($H167,'Rate Card'!$A$26:$D$29,3,FALSE)&lt;VLOOKUP($B167,'Rate Card'!$A$33:$F$50,4,FALSE),1+VLOOKUP($B167,'Rate Card'!$A$33:$F$50,5,FALSE),1),"")</f>
        <v/>
      </c>
      <c r="L167" s="13">
        <f>IFERROR($E167*$G167*$I167*$J167*$K167,"")</f>
        <v/>
      </c>
      <c r="M167" s="12" t="n"/>
    </row>
    <row r="168">
      <c r="A168" s="12" t="n"/>
      <c r="B168" s="12" t="n"/>
      <c r="C168" s="11">
        <f>IFERROR(VLOOKUP($B168,'Rate Card'!$A$5:$C$22,2,FALSE),"")</f>
        <v/>
      </c>
      <c r="D168" s="12" t="n"/>
      <c r="E168" s="6" t="n"/>
      <c r="F168" s="11">
        <f>IFERROR(VLOOKUP($B168,'Rate Card'!$A$5:$C$22,3,FALSE),"")</f>
        <v/>
      </c>
      <c r="G168" s="13">
        <f>IFERROR(VLOOKUP($B168,'Rate Card'!$A$5:$G$22,MATCH($D168,'Rate Card'!$D$4:$G$4,0)+3,FALSE),"")</f>
        <v/>
      </c>
      <c r="H168" s="12" t="n"/>
      <c r="I168" s="13">
        <f>IFERROR(IF(VLOOKUP($B168,'Rate Card'!$A$33:$F$50,6,FALSE)=0,1,VLOOKUP($H168,'Rate Card'!$A$26:$D$29,2,FALSE)),"")</f>
        <v/>
      </c>
      <c r="J168" s="6" t="n"/>
      <c r="K168" s="13">
        <f>IFERROR(IF(VLOOKUP($H168,'Rate Card'!$A$26:$D$29,3,FALSE)&lt;VLOOKUP($B168,'Rate Card'!$A$33:$F$50,4,FALSE),1+VLOOKUP($B168,'Rate Card'!$A$33:$F$50,5,FALSE),1),"")</f>
        <v/>
      </c>
      <c r="L168" s="13">
        <f>IFERROR($E168*$G168*$I168*$J168*$K168,"")</f>
        <v/>
      </c>
      <c r="M168" s="12" t="n"/>
    </row>
    <row r="169">
      <c r="A169" s="12" t="n"/>
      <c r="B169" s="12" t="n"/>
      <c r="C169" s="11">
        <f>IFERROR(VLOOKUP($B169,'Rate Card'!$A$5:$C$22,2,FALSE),"")</f>
        <v/>
      </c>
      <c r="D169" s="12" t="n"/>
      <c r="E169" s="6" t="n"/>
      <c r="F169" s="11">
        <f>IFERROR(VLOOKUP($B169,'Rate Card'!$A$5:$C$22,3,FALSE),"")</f>
        <v/>
      </c>
      <c r="G169" s="13">
        <f>IFERROR(VLOOKUP($B169,'Rate Card'!$A$5:$G$22,MATCH($D169,'Rate Card'!$D$4:$G$4,0)+3,FALSE),"")</f>
        <v/>
      </c>
      <c r="H169" s="12" t="n"/>
      <c r="I169" s="13">
        <f>IFERROR(IF(VLOOKUP($B169,'Rate Card'!$A$33:$F$50,6,FALSE)=0,1,VLOOKUP($H169,'Rate Card'!$A$26:$D$29,2,FALSE)),"")</f>
        <v/>
      </c>
      <c r="J169" s="6" t="n"/>
      <c r="K169" s="13">
        <f>IFERROR(IF(VLOOKUP($H169,'Rate Card'!$A$26:$D$29,3,FALSE)&lt;VLOOKUP($B169,'Rate Card'!$A$33:$F$50,4,FALSE),1+VLOOKUP($B169,'Rate Card'!$A$33:$F$50,5,FALSE),1),"")</f>
        <v/>
      </c>
      <c r="L169" s="13">
        <f>IFERROR($E169*$G169*$I169*$J169*$K169,"")</f>
        <v/>
      </c>
      <c r="M169" s="12" t="n"/>
    </row>
    <row r="170">
      <c r="A170" s="12" t="n"/>
      <c r="B170" s="12" t="n"/>
      <c r="C170" s="11">
        <f>IFERROR(VLOOKUP($B170,'Rate Card'!$A$5:$C$22,2,FALSE),"")</f>
        <v/>
      </c>
      <c r="D170" s="12" t="n"/>
      <c r="E170" s="6" t="n"/>
      <c r="F170" s="11">
        <f>IFERROR(VLOOKUP($B170,'Rate Card'!$A$5:$C$22,3,FALSE),"")</f>
        <v/>
      </c>
      <c r="G170" s="13">
        <f>IFERROR(VLOOKUP($B170,'Rate Card'!$A$5:$G$22,MATCH($D170,'Rate Card'!$D$4:$G$4,0)+3,FALSE),"")</f>
        <v/>
      </c>
      <c r="H170" s="12" t="n"/>
      <c r="I170" s="13">
        <f>IFERROR(IF(VLOOKUP($B170,'Rate Card'!$A$33:$F$50,6,FALSE)=0,1,VLOOKUP($H170,'Rate Card'!$A$26:$D$29,2,FALSE)),"")</f>
        <v/>
      </c>
      <c r="J170" s="6" t="n"/>
      <c r="K170" s="13">
        <f>IFERROR(IF(VLOOKUP($H170,'Rate Card'!$A$26:$D$29,3,FALSE)&lt;VLOOKUP($B170,'Rate Card'!$A$33:$F$50,4,FALSE),1+VLOOKUP($B170,'Rate Card'!$A$33:$F$50,5,FALSE),1),"")</f>
        <v/>
      </c>
      <c r="L170" s="13">
        <f>IFERROR($E170*$G170*$I170*$J170*$K170,"")</f>
        <v/>
      </c>
      <c r="M170" s="12" t="n"/>
    </row>
    <row r="171">
      <c r="A171" s="12" t="n"/>
      <c r="B171" s="12" t="n"/>
      <c r="C171" s="11">
        <f>IFERROR(VLOOKUP($B171,'Rate Card'!$A$5:$C$22,2,FALSE),"")</f>
        <v/>
      </c>
      <c r="D171" s="12" t="n"/>
      <c r="E171" s="6" t="n"/>
      <c r="F171" s="11">
        <f>IFERROR(VLOOKUP($B171,'Rate Card'!$A$5:$C$22,3,FALSE),"")</f>
        <v/>
      </c>
      <c r="G171" s="13">
        <f>IFERROR(VLOOKUP($B171,'Rate Card'!$A$5:$G$22,MATCH($D171,'Rate Card'!$D$4:$G$4,0)+3,FALSE),"")</f>
        <v/>
      </c>
      <c r="H171" s="12" t="n"/>
      <c r="I171" s="13">
        <f>IFERROR(IF(VLOOKUP($B171,'Rate Card'!$A$33:$F$50,6,FALSE)=0,1,VLOOKUP($H171,'Rate Card'!$A$26:$D$29,2,FALSE)),"")</f>
        <v/>
      </c>
      <c r="J171" s="6" t="n"/>
      <c r="K171" s="13">
        <f>IFERROR(IF(VLOOKUP($H171,'Rate Card'!$A$26:$D$29,3,FALSE)&lt;VLOOKUP($B171,'Rate Card'!$A$33:$F$50,4,FALSE),1+VLOOKUP($B171,'Rate Card'!$A$33:$F$50,5,FALSE),1),"")</f>
        <v/>
      </c>
      <c r="L171" s="13">
        <f>IFERROR($E171*$G171*$I171*$J171*$K171,"")</f>
        <v/>
      </c>
      <c r="M171" s="12" t="n"/>
    </row>
    <row r="172">
      <c r="A172" s="12" t="n"/>
      <c r="B172" s="12" t="n"/>
      <c r="C172" s="11">
        <f>IFERROR(VLOOKUP($B172,'Rate Card'!$A$5:$C$22,2,FALSE),"")</f>
        <v/>
      </c>
      <c r="D172" s="12" t="n"/>
      <c r="E172" s="6" t="n"/>
      <c r="F172" s="11">
        <f>IFERROR(VLOOKUP($B172,'Rate Card'!$A$5:$C$22,3,FALSE),"")</f>
        <v/>
      </c>
      <c r="G172" s="13">
        <f>IFERROR(VLOOKUP($B172,'Rate Card'!$A$5:$G$22,MATCH($D172,'Rate Card'!$D$4:$G$4,0)+3,FALSE),"")</f>
        <v/>
      </c>
      <c r="H172" s="12" t="n"/>
      <c r="I172" s="13">
        <f>IFERROR(IF(VLOOKUP($B172,'Rate Card'!$A$33:$F$50,6,FALSE)=0,1,VLOOKUP($H172,'Rate Card'!$A$26:$D$29,2,FALSE)),"")</f>
        <v/>
      </c>
      <c r="J172" s="6" t="n"/>
      <c r="K172" s="13">
        <f>IFERROR(IF(VLOOKUP($H172,'Rate Card'!$A$26:$D$29,3,FALSE)&lt;VLOOKUP($B172,'Rate Card'!$A$33:$F$50,4,FALSE),1+VLOOKUP($B172,'Rate Card'!$A$33:$F$50,5,FALSE),1),"")</f>
        <v/>
      </c>
      <c r="L172" s="13">
        <f>IFERROR($E172*$G172*$I172*$J172*$K172,"")</f>
        <v/>
      </c>
      <c r="M172" s="12" t="n"/>
    </row>
    <row r="173">
      <c r="A173" s="12" t="n"/>
      <c r="B173" s="12" t="n"/>
      <c r="C173" s="11">
        <f>IFERROR(VLOOKUP($B173,'Rate Card'!$A$5:$C$22,2,FALSE),"")</f>
        <v/>
      </c>
      <c r="D173" s="12" t="n"/>
      <c r="E173" s="6" t="n"/>
      <c r="F173" s="11">
        <f>IFERROR(VLOOKUP($B173,'Rate Card'!$A$5:$C$22,3,FALSE),"")</f>
        <v/>
      </c>
      <c r="G173" s="13">
        <f>IFERROR(VLOOKUP($B173,'Rate Card'!$A$5:$G$22,MATCH($D173,'Rate Card'!$D$4:$G$4,0)+3,FALSE),"")</f>
        <v/>
      </c>
      <c r="H173" s="12" t="n"/>
      <c r="I173" s="13">
        <f>IFERROR(IF(VLOOKUP($B173,'Rate Card'!$A$33:$F$50,6,FALSE)=0,1,VLOOKUP($H173,'Rate Card'!$A$26:$D$29,2,FALSE)),"")</f>
        <v/>
      </c>
      <c r="J173" s="6" t="n"/>
      <c r="K173" s="13">
        <f>IFERROR(IF(VLOOKUP($H173,'Rate Card'!$A$26:$D$29,3,FALSE)&lt;VLOOKUP($B173,'Rate Card'!$A$33:$F$50,4,FALSE),1+VLOOKUP($B173,'Rate Card'!$A$33:$F$50,5,FALSE),1),"")</f>
        <v/>
      </c>
      <c r="L173" s="13">
        <f>IFERROR($E173*$G173*$I173*$J173*$K173,"")</f>
        <v/>
      </c>
      <c r="M173" s="12" t="n"/>
    </row>
    <row r="174">
      <c r="A174" s="12" t="n"/>
      <c r="B174" s="12" t="n"/>
      <c r="C174" s="11">
        <f>IFERROR(VLOOKUP($B174,'Rate Card'!$A$5:$C$22,2,FALSE),"")</f>
        <v/>
      </c>
      <c r="D174" s="12" t="n"/>
      <c r="E174" s="6" t="n"/>
      <c r="F174" s="11">
        <f>IFERROR(VLOOKUP($B174,'Rate Card'!$A$5:$C$22,3,FALSE),"")</f>
        <v/>
      </c>
      <c r="G174" s="13">
        <f>IFERROR(VLOOKUP($B174,'Rate Card'!$A$5:$G$22,MATCH($D174,'Rate Card'!$D$4:$G$4,0)+3,FALSE),"")</f>
        <v/>
      </c>
      <c r="H174" s="12" t="n"/>
      <c r="I174" s="13">
        <f>IFERROR(IF(VLOOKUP($B174,'Rate Card'!$A$33:$F$50,6,FALSE)=0,1,VLOOKUP($H174,'Rate Card'!$A$26:$D$29,2,FALSE)),"")</f>
        <v/>
      </c>
      <c r="J174" s="6" t="n"/>
      <c r="K174" s="13">
        <f>IFERROR(IF(VLOOKUP($H174,'Rate Card'!$A$26:$D$29,3,FALSE)&lt;VLOOKUP($B174,'Rate Card'!$A$33:$F$50,4,FALSE),1+VLOOKUP($B174,'Rate Card'!$A$33:$F$50,5,FALSE),1),"")</f>
        <v/>
      </c>
      <c r="L174" s="13">
        <f>IFERROR($E174*$G174*$I174*$J174*$K174,"")</f>
        <v/>
      </c>
      <c r="M174" s="12" t="n"/>
    </row>
    <row r="175">
      <c r="A175" s="12" t="n"/>
      <c r="B175" s="12" t="n"/>
      <c r="C175" s="11">
        <f>IFERROR(VLOOKUP($B175,'Rate Card'!$A$5:$C$22,2,FALSE),"")</f>
        <v/>
      </c>
      <c r="D175" s="12" t="n"/>
      <c r="E175" s="6" t="n"/>
      <c r="F175" s="11">
        <f>IFERROR(VLOOKUP($B175,'Rate Card'!$A$5:$C$22,3,FALSE),"")</f>
        <v/>
      </c>
      <c r="G175" s="13">
        <f>IFERROR(VLOOKUP($B175,'Rate Card'!$A$5:$G$22,MATCH($D175,'Rate Card'!$D$4:$G$4,0)+3,FALSE),"")</f>
        <v/>
      </c>
      <c r="H175" s="12" t="n"/>
      <c r="I175" s="13">
        <f>IFERROR(IF(VLOOKUP($B175,'Rate Card'!$A$33:$F$50,6,FALSE)=0,1,VLOOKUP($H175,'Rate Card'!$A$26:$D$29,2,FALSE)),"")</f>
        <v/>
      </c>
      <c r="J175" s="6" t="n"/>
      <c r="K175" s="13">
        <f>IFERROR(IF(VLOOKUP($H175,'Rate Card'!$A$26:$D$29,3,FALSE)&lt;VLOOKUP($B175,'Rate Card'!$A$33:$F$50,4,FALSE),1+VLOOKUP($B175,'Rate Card'!$A$33:$F$50,5,FALSE),1),"")</f>
        <v/>
      </c>
      <c r="L175" s="13">
        <f>IFERROR($E175*$G175*$I175*$J175*$K175,"")</f>
        <v/>
      </c>
      <c r="M175" s="12" t="n"/>
    </row>
    <row r="176">
      <c r="A176" s="12" t="n"/>
      <c r="B176" s="12" t="n"/>
      <c r="C176" s="11">
        <f>IFERROR(VLOOKUP($B176,'Rate Card'!$A$5:$C$22,2,FALSE),"")</f>
        <v/>
      </c>
      <c r="D176" s="12" t="n"/>
      <c r="E176" s="6" t="n"/>
      <c r="F176" s="11">
        <f>IFERROR(VLOOKUP($B176,'Rate Card'!$A$5:$C$22,3,FALSE),"")</f>
        <v/>
      </c>
      <c r="G176" s="13">
        <f>IFERROR(VLOOKUP($B176,'Rate Card'!$A$5:$G$22,MATCH($D176,'Rate Card'!$D$4:$G$4,0)+3,FALSE),"")</f>
        <v/>
      </c>
      <c r="H176" s="12" t="n"/>
      <c r="I176" s="13">
        <f>IFERROR(IF(VLOOKUP($B176,'Rate Card'!$A$33:$F$50,6,FALSE)=0,1,VLOOKUP($H176,'Rate Card'!$A$26:$D$29,2,FALSE)),"")</f>
        <v/>
      </c>
      <c r="J176" s="6" t="n"/>
      <c r="K176" s="13">
        <f>IFERROR(IF(VLOOKUP($H176,'Rate Card'!$A$26:$D$29,3,FALSE)&lt;VLOOKUP($B176,'Rate Card'!$A$33:$F$50,4,FALSE),1+VLOOKUP($B176,'Rate Card'!$A$33:$F$50,5,FALSE),1),"")</f>
        <v/>
      </c>
      <c r="L176" s="13">
        <f>IFERROR($E176*$G176*$I176*$J176*$K176,"")</f>
        <v/>
      </c>
      <c r="M176" s="12" t="n"/>
    </row>
    <row r="177">
      <c r="A177" s="12" t="n"/>
      <c r="B177" s="12" t="n"/>
      <c r="C177" s="11">
        <f>IFERROR(VLOOKUP($B177,'Rate Card'!$A$5:$C$22,2,FALSE),"")</f>
        <v/>
      </c>
      <c r="D177" s="12" t="n"/>
      <c r="E177" s="6" t="n"/>
      <c r="F177" s="11">
        <f>IFERROR(VLOOKUP($B177,'Rate Card'!$A$5:$C$22,3,FALSE),"")</f>
        <v/>
      </c>
      <c r="G177" s="13">
        <f>IFERROR(VLOOKUP($B177,'Rate Card'!$A$5:$G$22,MATCH($D177,'Rate Card'!$D$4:$G$4,0)+3,FALSE),"")</f>
        <v/>
      </c>
      <c r="H177" s="12" t="n"/>
      <c r="I177" s="13">
        <f>IFERROR(IF(VLOOKUP($B177,'Rate Card'!$A$33:$F$50,6,FALSE)=0,1,VLOOKUP($H177,'Rate Card'!$A$26:$D$29,2,FALSE)),"")</f>
        <v/>
      </c>
      <c r="J177" s="6" t="n"/>
      <c r="K177" s="13">
        <f>IFERROR(IF(VLOOKUP($H177,'Rate Card'!$A$26:$D$29,3,FALSE)&lt;VLOOKUP($B177,'Rate Card'!$A$33:$F$50,4,FALSE),1+VLOOKUP($B177,'Rate Card'!$A$33:$F$50,5,FALSE),1),"")</f>
        <v/>
      </c>
      <c r="L177" s="13">
        <f>IFERROR($E177*$G177*$I177*$J177*$K177,"")</f>
        <v/>
      </c>
      <c r="M177" s="12" t="n"/>
    </row>
    <row r="178">
      <c r="A178" s="12" t="n"/>
      <c r="B178" s="12" t="n"/>
      <c r="C178" s="11">
        <f>IFERROR(VLOOKUP($B178,'Rate Card'!$A$5:$C$22,2,FALSE),"")</f>
        <v/>
      </c>
      <c r="D178" s="12" t="n"/>
      <c r="E178" s="6" t="n"/>
      <c r="F178" s="11">
        <f>IFERROR(VLOOKUP($B178,'Rate Card'!$A$5:$C$22,3,FALSE),"")</f>
        <v/>
      </c>
      <c r="G178" s="13">
        <f>IFERROR(VLOOKUP($B178,'Rate Card'!$A$5:$G$22,MATCH($D178,'Rate Card'!$D$4:$G$4,0)+3,FALSE),"")</f>
        <v/>
      </c>
      <c r="H178" s="12" t="n"/>
      <c r="I178" s="13">
        <f>IFERROR(IF(VLOOKUP($B178,'Rate Card'!$A$33:$F$50,6,FALSE)=0,1,VLOOKUP($H178,'Rate Card'!$A$26:$D$29,2,FALSE)),"")</f>
        <v/>
      </c>
      <c r="J178" s="6" t="n"/>
      <c r="K178" s="13">
        <f>IFERROR(IF(VLOOKUP($H178,'Rate Card'!$A$26:$D$29,3,FALSE)&lt;VLOOKUP($B178,'Rate Card'!$A$33:$F$50,4,FALSE),1+VLOOKUP($B178,'Rate Card'!$A$33:$F$50,5,FALSE),1),"")</f>
        <v/>
      </c>
      <c r="L178" s="13">
        <f>IFERROR($E178*$G178*$I178*$J178*$K178,"")</f>
        <v/>
      </c>
      <c r="M178" s="12" t="n"/>
    </row>
    <row r="179">
      <c r="A179" s="12" t="n"/>
      <c r="B179" s="12" t="n"/>
      <c r="C179" s="11">
        <f>IFERROR(VLOOKUP($B179,'Rate Card'!$A$5:$C$22,2,FALSE),"")</f>
        <v/>
      </c>
      <c r="D179" s="12" t="n"/>
      <c r="E179" s="6" t="n"/>
      <c r="F179" s="11">
        <f>IFERROR(VLOOKUP($B179,'Rate Card'!$A$5:$C$22,3,FALSE),"")</f>
        <v/>
      </c>
      <c r="G179" s="13">
        <f>IFERROR(VLOOKUP($B179,'Rate Card'!$A$5:$G$22,MATCH($D179,'Rate Card'!$D$4:$G$4,0)+3,FALSE),"")</f>
        <v/>
      </c>
      <c r="H179" s="12" t="n"/>
      <c r="I179" s="13">
        <f>IFERROR(IF(VLOOKUP($B179,'Rate Card'!$A$33:$F$50,6,FALSE)=0,1,VLOOKUP($H179,'Rate Card'!$A$26:$D$29,2,FALSE)),"")</f>
        <v/>
      </c>
      <c r="J179" s="6" t="n"/>
      <c r="K179" s="13">
        <f>IFERROR(IF(VLOOKUP($H179,'Rate Card'!$A$26:$D$29,3,FALSE)&lt;VLOOKUP($B179,'Rate Card'!$A$33:$F$50,4,FALSE),1+VLOOKUP($B179,'Rate Card'!$A$33:$F$50,5,FALSE),1),"")</f>
        <v/>
      </c>
      <c r="L179" s="13">
        <f>IFERROR($E179*$G179*$I179*$J179*$K179,"")</f>
        <v/>
      </c>
      <c r="M179" s="12" t="n"/>
    </row>
    <row r="180">
      <c r="A180" s="12" t="n"/>
      <c r="B180" s="12" t="n"/>
      <c r="C180" s="11">
        <f>IFERROR(VLOOKUP($B180,'Rate Card'!$A$5:$C$22,2,FALSE),"")</f>
        <v/>
      </c>
      <c r="D180" s="12" t="n"/>
      <c r="E180" s="6" t="n"/>
      <c r="F180" s="11">
        <f>IFERROR(VLOOKUP($B180,'Rate Card'!$A$5:$C$22,3,FALSE),"")</f>
        <v/>
      </c>
      <c r="G180" s="13">
        <f>IFERROR(VLOOKUP($B180,'Rate Card'!$A$5:$G$22,MATCH($D180,'Rate Card'!$D$4:$G$4,0)+3,FALSE),"")</f>
        <v/>
      </c>
      <c r="H180" s="12" t="n"/>
      <c r="I180" s="13">
        <f>IFERROR(IF(VLOOKUP($B180,'Rate Card'!$A$33:$F$50,6,FALSE)=0,1,VLOOKUP($H180,'Rate Card'!$A$26:$D$29,2,FALSE)),"")</f>
        <v/>
      </c>
      <c r="J180" s="6" t="n"/>
      <c r="K180" s="13">
        <f>IFERROR(IF(VLOOKUP($H180,'Rate Card'!$A$26:$D$29,3,FALSE)&lt;VLOOKUP($B180,'Rate Card'!$A$33:$F$50,4,FALSE),1+VLOOKUP($B180,'Rate Card'!$A$33:$F$50,5,FALSE),1),"")</f>
        <v/>
      </c>
      <c r="L180" s="13">
        <f>IFERROR($E180*$G180*$I180*$J180*$K180,"")</f>
        <v/>
      </c>
      <c r="M180" s="12" t="n"/>
    </row>
    <row r="181">
      <c r="A181" s="12" t="n"/>
      <c r="B181" s="12" t="n"/>
      <c r="C181" s="11">
        <f>IFERROR(VLOOKUP($B181,'Rate Card'!$A$5:$C$22,2,FALSE),"")</f>
        <v/>
      </c>
      <c r="D181" s="12" t="n"/>
      <c r="E181" s="6" t="n"/>
      <c r="F181" s="11">
        <f>IFERROR(VLOOKUP($B181,'Rate Card'!$A$5:$C$22,3,FALSE),"")</f>
        <v/>
      </c>
      <c r="G181" s="13">
        <f>IFERROR(VLOOKUP($B181,'Rate Card'!$A$5:$G$22,MATCH($D181,'Rate Card'!$D$4:$G$4,0)+3,FALSE),"")</f>
        <v/>
      </c>
      <c r="H181" s="12" t="n"/>
      <c r="I181" s="13">
        <f>IFERROR(IF(VLOOKUP($B181,'Rate Card'!$A$33:$F$50,6,FALSE)=0,1,VLOOKUP($H181,'Rate Card'!$A$26:$D$29,2,FALSE)),"")</f>
        <v/>
      </c>
      <c r="J181" s="6" t="n"/>
      <c r="K181" s="13">
        <f>IFERROR(IF(VLOOKUP($H181,'Rate Card'!$A$26:$D$29,3,FALSE)&lt;VLOOKUP($B181,'Rate Card'!$A$33:$F$50,4,FALSE),1+VLOOKUP($B181,'Rate Card'!$A$33:$F$50,5,FALSE),1),"")</f>
        <v/>
      </c>
      <c r="L181" s="13">
        <f>IFERROR($E181*$G181*$I181*$J181*$K181,"")</f>
        <v/>
      </c>
      <c r="M181" s="12" t="n"/>
    </row>
    <row r="182">
      <c r="A182" s="12" t="n"/>
      <c r="B182" s="12" t="n"/>
      <c r="C182" s="11">
        <f>IFERROR(VLOOKUP($B182,'Rate Card'!$A$5:$C$22,2,FALSE),"")</f>
        <v/>
      </c>
      <c r="D182" s="12" t="n"/>
      <c r="E182" s="6" t="n"/>
      <c r="F182" s="11">
        <f>IFERROR(VLOOKUP($B182,'Rate Card'!$A$5:$C$22,3,FALSE),"")</f>
        <v/>
      </c>
      <c r="G182" s="13">
        <f>IFERROR(VLOOKUP($B182,'Rate Card'!$A$5:$G$22,MATCH($D182,'Rate Card'!$D$4:$G$4,0)+3,FALSE),"")</f>
        <v/>
      </c>
      <c r="H182" s="12" t="n"/>
      <c r="I182" s="13">
        <f>IFERROR(IF(VLOOKUP($B182,'Rate Card'!$A$33:$F$50,6,FALSE)=0,1,VLOOKUP($H182,'Rate Card'!$A$26:$D$29,2,FALSE)),"")</f>
        <v/>
      </c>
      <c r="J182" s="6" t="n"/>
      <c r="K182" s="13">
        <f>IFERROR(IF(VLOOKUP($H182,'Rate Card'!$A$26:$D$29,3,FALSE)&lt;VLOOKUP($B182,'Rate Card'!$A$33:$F$50,4,FALSE),1+VLOOKUP($B182,'Rate Card'!$A$33:$F$50,5,FALSE),1),"")</f>
        <v/>
      </c>
      <c r="L182" s="13">
        <f>IFERROR($E182*$G182*$I182*$J182*$K182,"")</f>
        <v/>
      </c>
      <c r="M182" s="12" t="n"/>
    </row>
    <row r="183">
      <c r="A183" s="12" t="n"/>
      <c r="B183" s="12" t="n"/>
      <c r="C183" s="11">
        <f>IFERROR(VLOOKUP($B183,'Rate Card'!$A$5:$C$22,2,FALSE),"")</f>
        <v/>
      </c>
      <c r="D183" s="12" t="n"/>
      <c r="E183" s="6" t="n"/>
      <c r="F183" s="11">
        <f>IFERROR(VLOOKUP($B183,'Rate Card'!$A$5:$C$22,3,FALSE),"")</f>
        <v/>
      </c>
      <c r="G183" s="13">
        <f>IFERROR(VLOOKUP($B183,'Rate Card'!$A$5:$G$22,MATCH($D183,'Rate Card'!$D$4:$G$4,0)+3,FALSE),"")</f>
        <v/>
      </c>
      <c r="H183" s="12" t="n"/>
      <c r="I183" s="13">
        <f>IFERROR(IF(VLOOKUP($B183,'Rate Card'!$A$33:$F$50,6,FALSE)=0,1,VLOOKUP($H183,'Rate Card'!$A$26:$D$29,2,FALSE)),"")</f>
        <v/>
      </c>
      <c r="J183" s="6" t="n"/>
      <c r="K183" s="13">
        <f>IFERROR(IF(VLOOKUP($H183,'Rate Card'!$A$26:$D$29,3,FALSE)&lt;VLOOKUP($B183,'Rate Card'!$A$33:$F$50,4,FALSE),1+VLOOKUP($B183,'Rate Card'!$A$33:$F$50,5,FALSE),1),"")</f>
        <v/>
      </c>
      <c r="L183" s="13">
        <f>IFERROR($E183*$G183*$I183*$J183*$K183,"")</f>
        <v/>
      </c>
      <c r="M183" s="12" t="n"/>
    </row>
    <row r="184">
      <c r="A184" s="12" t="n"/>
      <c r="B184" s="12" t="n"/>
      <c r="C184" s="11">
        <f>IFERROR(VLOOKUP($B184,'Rate Card'!$A$5:$C$22,2,FALSE),"")</f>
        <v/>
      </c>
      <c r="D184" s="12" t="n"/>
      <c r="E184" s="6" t="n"/>
      <c r="F184" s="11">
        <f>IFERROR(VLOOKUP($B184,'Rate Card'!$A$5:$C$22,3,FALSE),"")</f>
        <v/>
      </c>
      <c r="G184" s="13">
        <f>IFERROR(VLOOKUP($B184,'Rate Card'!$A$5:$G$22,MATCH($D184,'Rate Card'!$D$4:$G$4,0)+3,FALSE),"")</f>
        <v/>
      </c>
      <c r="H184" s="12" t="n"/>
      <c r="I184" s="13">
        <f>IFERROR(IF(VLOOKUP($B184,'Rate Card'!$A$33:$F$50,6,FALSE)=0,1,VLOOKUP($H184,'Rate Card'!$A$26:$D$29,2,FALSE)),"")</f>
        <v/>
      </c>
      <c r="J184" s="6" t="n"/>
      <c r="K184" s="13">
        <f>IFERROR(IF(VLOOKUP($H184,'Rate Card'!$A$26:$D$29,3,FALSE)&lt;VLOOKUP($B184,'Rate Card'!$A$33:$F$50,4,FALSE),1+VLOOKUP($B184,'Rate Card'!$A$33:$F$50,5,FALSE),1),"")</f>
        <v/>
      </c>
      <c r="L184" s="13">
        <f>IFERROR($E184*$G184*$I184*$J184*$K184,"")</f>
        <v/>
      </c>
      <c r="M184" s="12" t="n"/>
    </row>
    <row r="185">
      <c r="A185" s="12" t="n"/>
      <c r="B185" s="12" t="n"/>
      <c r="C185" s="11">
        <f>IFERROR(VLOOKUP($B185,'Rate Card'!$A$5:$C$22,2,FALSE),"")</f>
        <v/>
      </c>
      <c r="D185" s="12" t="n"/>
      <c r="E185" s="6" t="n"/>
      <c r="F185" s="11">
        <f>IFERROR(VLOOKUP($B185,'Rate Card'!$A$5:$C$22,3,FALSE),"")</f>
        <v/>
      </c>
      <c r="G185" s="13">
        <f>IFERROR(VLOOKUP($B185,'Rate Card'!$A$5:$G$22,MATCH($D185,'Rate Card'!$D$4:$G$4,0)+3,FALSE),"")</f>
        <v/>
      </c>
      <c r="H185" s="12" t="n"/>
      <c r="I185" s="13">
        <f>IFERROR(IF(VLOOKUP($B185,'Rate Card'!$A$33:$F$50,6,FALSE)=0,1,VLOOKUP($H185,'Rate Card'!$A$26:$D$29,2,FALSE)),"")</f>
        <v/>
      </c>
      <c r="J185" s="6" t="n"/>
      <c r="K185" s="13">
        <f>IFERROR(IF(VLOOKUP($H185,'Rate Card'!$A$26:$D$29,3,FALSE)&lt;VLOOKUP($B185,'Rate Card'!$A$33:$F$50,4,FALSE),1+VLOOKUP($B185,'Rate Card'!$A$33:$F$50,5,FALSE),1),"")</f>
        <v/>
      </c>
      <c r="L185" s="13">
        <f>IFERROR($E185*$G185*$I185*$J185*$K185,"")</f>
        <v/>
      </c>
      <c r="M185" s="12" t="n"/>
    </row>
    <row r="186">
      <c r="A186" s="12" t="n"/>
      <c r="B186" s="12" t="n"/>
      <c r="C186" s="11">
        <f>IFERROR(VLOOKUP($B186,'Rate Card'!$A$5:$C$22,2,FALSE),"")</f>
        <v/>
      </c>
      <c r="D186" s="12" t="n"/>
      <c r="E186" s="6" t="n"/>
      <c r="F186" s="11">
        <f>IFERROR(VLOOKUP($B186,'Rate Card'!$A$5:$C$22,3,FALSE),"")</f>
        <v/>
      </c>
      <c r="G186" s="13">
        <f>IFERROR(VLOOKUP($B186,'Rate Card'!$A$5:$G$22,MATCH($D186,'Rate Card'!$D$4:$G$4,0)+3,FALSE),"")</f>
        <v/>
      </c>
      <c r="H186" s="12" t="n"/>
      <c r="I186" s="13">
        <f>IFERROR(IF(VLOOKUP($B186,'Rate Card'!$A$33:$F$50,6,FALSE)=0,1,VLOOKUP($H186,'Rate Card'!$A$26:$D$29,2,FALSE)),"")</f>
        <v/>
      </c>
      <c r="J186" s="6" t="n"/>
      <c r="K186" s="13">
        <f>IFERROR(IF(VLOOKUP($H186,'Rate Card'!$A$26:$D$29,3,FALSE)&lt;VLOOKUP($B186,'Rate Card'!$A$33:$F$50,4,FALSE),1+VLOOKUP($B186,'Rate Card'!$A$33:$F$50,5,FALSE),1),"")</f>
        <v/>
      </c>
      <c r="L186" s="13">
        <f>IFERROR($E186*$G186*$I186*$J186*$K186,"")</f>
        <v/>
      </c>
      <c r="M186" s="12" t="n"/>
    </row>
    <row r="187">
      <c r="A187" s="12" t="n"/>
      <c r="B187" s="12" t="n"/>
      <c r="C187" s="11">
        <f>IFERROR(VLOOKUP($B187,'Rate Card'!$A$5:$C$22,2,FALSE),"")</f>
        <v/>
      </c>
      <c r="D187" s="12" t="n"/>
      <c r="E187" s="6" t="n"/>
      <c r="F187" s="11">
        <f>IFERROR(VLOOKUP($B187,'Rate Card'!$A$5:$C$22,3,FALSE),"")</f>
        <v/>
      </c>
      <c r="G187" s="13">
        <f>IFERROR(VLOOKUP($B187,'Rate Card'!$A$5:$G$22,MATCH($D187,'Rate Card'!$D$4:$G$4,0)+3,FALSE),"")</f>
        <v/>
      </c>
      <c r="H187" s="12" t="n"/>
      <c r="I187" s="13">
        <f>IFERROR(IF(VLOOKUP($B187,'Rate Card'!$A$33:$F$50,6,FALSE)=0,1,VLOOKUP($H187,'Rate Card'!$A$26:$D$29,2,FALSE)),"")</f>
        <v/>
      </c>
      <c r="J187" s="6" t="n"/>
      <c r="K187" s="13">
        <f>IFERROR(IF(VLOOKUP($H187,'Rate Card'!$A$26:$D$29,3,FALSE)&lt;VLOOKUP($B187,'Rate Card'!$A$33:$F$50,4,FALSE),1+VLOOKUP($B187,'Rate Card'!$A$33:$F$50,5,FALSE),1),"")</f>
        <v/>
      </c>
      <c r="L187" s="13">
        <f>IFERROR($E187*$G187*$I187*$J187*$K187,"")</f>
        <v/>
      </c>
      <c r="M187" s="12" t="n"/>
    </row>
    <row r="188">
      <c r="A188" s="12" t="n"/>
      <c r="B188" s="12" t="n"/>
      <c r="C188" s="11">
        <f>IFERROR(VLOOKUP($B188,'Rate Card'!$A$5:$C$22,2,FALSE),"")</f>
        <v/>
      </c>
      <c r="D188" s="12" t="n"/>
      <c r="E188" s="6" t="n"/>
      <c r="F188" s="11">
        <f>IFERROR(VLOOKUP($B188,'Rate Card'!$A$5:$C$22,3,FALSE),"")</f>
        <v/>
      </c>
      <c r="G188" s="13">
        <f>IFERROR(VLOOKUP($B188,'Rate Card'!$A$5:$G$22,MATCH($D188,'Rate Card'!$D$4:$G$4,0)+3,FALSE),"")</f>
        <v/>
      </c>
      <c r="H188" s="12" t="n"/>
      <c r="I188" s="13">
        <f>IFERROR(IF(VLOOKUP($B188,'Rate Card'!$A$33:$F$50,6,FALSE)=0,1,VLOOKUP($H188,'Rate Card'!$A$26:$D$29,2,FALSE)),"")</f>
        <v/>
      </c>
      <c r="J188" s="6" t="n"/>
      <c r="K188" s="13">
        <f>IFERROR(IF(VLOOKUP($H188,'Rate Card'!$A$26:$D$29,3,FALSE)&lt;VLOOKUP($B188,'Rate Card'!$A$33:$F$50,4,FALSE),1+VLOOKUP($B188,'Rate Card'!$A$33:$F$50,5,FALSE),1),"")</f>
        <v/>
      </c>
      <c r="L188" s="13">
        <f>IFERROR($E188*$G188*$I188*$J188*$K188,"")</f>
        <v/>
      </c>
      <c r="M188" s="12" t="n"/>
    </row>
    <row r="189">
      <c r="A189" s="12" t="n"/>
      <c r="B189" s="12" t="n"/>
      <c r="C189" s="11">
        <f>IFERROR(VLOOKUP($B189,'Rate Card'!$A$5:$C$22,2,FALSE),"")</f>
        <v/>
      </c>
      <c r="D189" s="12" t="n"/>
      <c r="E189" s="6" t="n"/>
      <c r="F189" s="11">
        <f>IFERROR(VLOOKUP($B189,'Rate Card'!$A$5:$C$22,3,FALSE),"")</f>
        <v/>
      </c>
      <c r="G189" s="13">
        <f>IFERROR(VLOOKUP($B189,'Rate Card'!$A$5:$G$22,MATCH($D189,'Rate Card'!$D$4:$G$4,0)+3,FALSE),"")</f>
        <v/>
      </c>
      <c r="H189" s="12" t="n"/>
      <c r="I189" s="13">
        <f>IFERROR(IF(VLOOKUP($B189,'Rate Card'!$A$33:$F$50,6,FALSE)=0,1,VLOOKUP($H189,'Rate Card'!$A$26:$D$29,2,FALSE)),"")</f>
        <v/>
      </c>
      <c r="J189" s="6" t="n"/>
      <c r="K189" s="13">
        <f>IFERROR(IF(VLOOKUP($H189,'Rate Card'!$A$26:$D$29,3,FALSE)&lt;VLOOKUP($B189,'Rate Card'!$A$33:$F$50,4,FALSE),1+VLOOKUP($B189,'Rate Card'!$A$33:$F$50,5,FALSE),1),"")</f>
        <v/>
      </c>
      <c r="L189" s="13">
        <f>IFERROR($E189*$G189*$I189*$J189*$K189,"")</f>
        <v/>
      </c>
      <c r="M189" s="12" t="n"/>
    </row>
    <row r="190">
      <c r="A190" s="12" t="n"/>
      <c r="B190" s="12" t="n"/>
      <c r="C190" s="11">
        <f>IFERROR(VLOOKUP($B190,'Rate Card'!$A$5:$C$22,2,FALSE),"")</f>
        <v/>
      </c>
      <c r="D190" s="12" t="n"/>
      <c r="E190" s="6" t="n"/>
      <c r="F190" s="11">
        <f>IFERROR(VLOOKUP($B190,'Rate Card'!$A$5:$C$22,3,FALSE),"")</f>
        <v/>
      </c>
      <c r="G190" s="13">
        <f>IFERROR(VLOOKUP($B190,'Rate Card'!$A$5:$G$22,MATCH($D190,'Rate Card'!$D$4:$G$4,0)+3,FALSE),"")</f>
        <v/>
      </c>
      <c r="H190" s="12" t="n"/>
      <c r="I190" s="13">
        <f>IFERROR(IF(VLOOKUP($B190,'Rate Card'!$A$33:$F$50,6,FALSE)=0,1,VLOOKUP($H190,'Rate Card'!$A$26:$D$29,2,FALSE)),"")</f>
        <v/>
      </c>
      <c r="J190" s="6" t="n"/>
      <c r="K190" s="13">
        <f>IFERROR(IF(VLOOKUP($H190,'Rate Card'!$A$26:$D$29,3,FALSE)&lt;VLOOKUP($B190,'Rate Card'!$A$33:$F$50,4,FALSE),1+VLOOKUP($B190,'Rate Card'!$A$33:$F$50,5,FALSE),1),"")</f>
        <v/>
      </c>
      <c r="L190" s="13">
        <f>IFERROR($E190*$G190*$I190*$J190*$K190,"")</f>
        <v/>
      </c>
      <c r="M190" s="12" t="n"/>
    </row>
    <row r="191">
      <c r="A191" s="12" t="n"/>
      <c r="B191" s="12" t="n"/>
      <c r="C191" s="11">
        <f>IFERROR(VLOOKUP($B191,'Rate Card'!$A$5:$C$22,2,FALSE),"")</f>
        <v/>
      </c>
      <c r="D191" s="12" t="n"/>
      <c r="E191" s="6" t="n"/>
      <c r="F191" s="11">
        <f>IFERROR(VLOOKUP($B191,'Rate Card'!$A$5:$C$22,3,FALSE),"")</f>
        <v/>
      </c>
      <c r="G191" s="13">
        <f>IFERROR(VLOOKUP($B191,'Rate Card'!$A$5:$G$22,MATCH($D191,'Rate Card'!$D$4:$G$4,0)+3,FALSE),"")</f>
        <v/>
      </c>
      <c r="H191" s="12" t="n"/>
      <c r="I191" s="13">
        <f>IFERROR(IF(VLOOKUP($B191,'Rate Card'!$A$33:$F$50,6,FALSE)=0,1,VLOOKUP($H191,'Rate Card'!$A$26:$D$29,2,FALSE)),"")</f>
        <v/>
      </c>
      <c r="J191" s="6" t="n"/>
      <c r="K191" s="13">
        <f>IFERROR(IF(VLOOKUP($H191,'Rate Card'!$A$26:$D$29,3,FALSE)&lt;VLOOKUP($B191,'Rate Card'!$A$33:$F$50,4,FALSE),1+VLOOKUP($B191,'Rate Card'!$A$33:$F$50,5,FALSE),1),"")</f>
        <v/>
      </c>
      <c r="L191" s="13">
        <f>IFERROR($E191*$G191*$I191*$J191*$K191,"")</f>
        <v/>
      </c>
      <c r="M191" s="12" t="n"/>
    </row>
    <row r="192">
      <c r="A192" s="12" t="n"/>
      <c r="B192" s="12" t="n"/>
      <c r="C192" s="11">
        <f>IFERROR(VLOOKUP($B192,'Rate Card'!$A$5:$C$22,2,FALSE),"")</f>
        <v/>
      </c>
      <c r="D192" s="12" t="n"/>
      <c r="E192" s="6" t="n"/>
      <c r="F192" s="11">
        <f>IFERROR(VLOOKUP($B192,'Rate Card'!$A$5:$C$22,3,FALSE),"")</f>
        <v/>
      </c>
      <c r="G192" s="13">
        <f>IFERROR(VLOOKUP($B192,'Rate Card'!$A$5:$G$22,MATCH($D192,'Rate Card'!$D$4:$G$4,0)+3,FALSE),"")</f>
        <v/>
      </c>
      <c r="H192" s="12" t="n"/>
      <c r="I192" s="13">
        <f>IFERROR(IF(VLOOKUP($B192,'Rate Card'!$A$33:$F$50,6,FALSE)=0,1,VLOOKUP($H192,'Rate Card'!$A$26:$D$29,2,FALSE)),"")</f>
        <v/>
      </c>
      <c r="J192" s="6" t="n"/>
      <c r="K192" s="13">
        <f>IFERROR(IF(VLOOKUP($H192,'Rate Card'!$A$26:$D$29,3,FALSE)&lt;VLOOKUP($B192,'Rate Card'!$A$33:$F$50,4,FALSE),1+VLOOKUP($B192,'Rate Card'!$A$33:$F$50,5,FALSE),1),"")</f>
        <v/>
      </c>
      <c r="L192" s="13">
        <f>IFERROR($E192*$G192*$I192*$J192*$K192,"")</f>
        <v/>
      </c>
      <c r="M192" s="12" t="n"/>
    </row>
    <row r="193">
      <c r="A193" s="12" t="n"/>
      <c r="B193" s="12" t="n"/>
      <c r="C193" s="11">
        <f>IFERROR(VLOOKUP($B193,'Rate Card'!$A$5:$C$22,2,FALSE),"")</f>
        <v/>
      </c>
      <c r="D193" s="12" t="n"/>
      <c r="E193" s="6" t="n"/>
      <c r="F193" s="11">
        <f>IFERROR(VLOOKUP($B193,'Rate Card'!$A$5:$C$22,3,FALSE),"")</f>
        <v/>
      </c>
      <c r="G193" s="13">
        <f>IFERROR(VLOOKUP($B193,'Rate Card'!$A$5:$G$22,MATCH($D193,'Rate Card'!$D$4:$G$4,0)+3,FALSE),"")</f>
        <v/>
      </c>
      <c r="H193" s="12" t="n"/>
      <c r="I193" s="13">
        <f>IFERROR(IF(VLOOKUP($B193,'Rate Card'!$A$33:$F$50,6,FALSE)=0,1,VLOOKUP($H193,'Rate Card'!$A$26:$D$29,2,FALSE)),"")</f>
        <v/>
      </c>
      <c r="J193" s="6" t="n"/>
      <c r="K193" s="13">
        <f>IFERROR(IF(VLOOKUP($H193,'Rate Card'!$A$26:$D$29,3,FALSE)&lt;VLOOKUP($B193,'Rate Card'!$A$33:$F$50,4,FALSE),1+VLOOKUP($B193,'Rate Card'!$A$33:$F$50,5,FALSE),1),"")</f>
        <v/>
      </c>
      <c r="L193" s="13">
        <f>IFERROR($E193*$G193*$I193*$J193*$K193,"")</f>
        <v/>
      </c>
      <c r="M193" s="12" t="n"/>
    </row>
    <row r="194">
      <c r="A194" s="12" t="n"/>
      <c r="B194" s="12" t="n"/>
      <c r="C194" s="11">
        <f>IFERROR(VLOOKUP($B194,'Rate Card'!$A$5:$C$22,2,FALSE),"")</f>
        <v/>
      </c>
      <c r="D194" s="12" t="n"/>
      <c r="E194" s="6" t="n"/>
      <c r="F194" s="11">
        <f>IFERROR(VLOOKUP($B194,'Rate Card'!$A$5:$C$22,3,FALSE),"")</f>
        <v/>
      </c>
      <c r="G194" s="13">
        <f>IFERROR(VLOOKUP($B194,'Rate Card'!$A$5:$G$22,MATCH($D194,'Rate Card'!$D$4:$G$4,0)+3,FALSE),"")</f>
        <v/>
      </c>
      <c r="H194" s="12" t="n"/>
      <c r="I194" s="13">
        <f>IFERROR(IF(VLOOKUP($B194,'Rate Card'!$A$33:$F$50,6,FALSE)=0,1,VLOOKUP($H194,'Rate Card'!$A$26:$D$29,2,FALSE)),"")</f>
        <v/>
      </c>
      <c r="J194" s="6" t="n"/>
      <c r="K194" s="13">
        <f>IFERROR(IF(VLOOKUP($H194,'Rate Card'!$A$26:$D$29,3,FALSE)&lt;VLOOKUP($B194,'Rate Card'!$A$33:$F$50,4,FALSE),1+VLOOKUP($B194,'Rate Card'!$A$33:$F$50,5,FALSE),1),"")</f>
        <v/>
      </c>
      <c r="L194" s="13">
        <f>IFERROR($E194*$G194*$I194*$J194*$K194,"")</f>
        <v/>
      </c>
      <c r="M194" s="12" t="n"/>
    </row>
    <row r="195">
      <c r="A195" s="12" t="n"/>
      <c r="B195" s="12" t="n"/>
      <c r="C195" s="11">
        <f>IFERROR(VLOOKUP($B195,'Rate Card'!$A$5:$C$22,2,FALSE),"")</f>
        <v/>
      </c>
      <c r="D195" s="12" t="n"/>
      <c r="E195" s="6" t="n"/>
      <c r="F195" s="11">
        <f>IFERROR(VLOOKUP($B195,'Rate Card'!$A$5:$C$22,3,FALSE),"")</f>
        <v/>
      </c>
      <c r="G195" s="13">
        <f>IFERROR(VLOOKUP($B195,'Rate Card'!$A$5:$G$22,MATCH($D195,'Rate Card'!$D$4:$G$4,0)+3,FALSE),"")</f>
        <v/>
      </c>
      <c r="H195" s="12" t="n"/>
      <c r="I195" s="13">
        <f>IFERROR(IF(VLOOKUP($B195,'Rate Card'!$A$33:$F$50,6,FALSE)=0,1,VLOOKUP($H195,'Rate Card'!$A$26:$D$29,2,FALSE)),"")</f>
        <v/>
      </c>
      <c r="J195" s="6" t="n"/>
      <c r="K195" s="13">
        <f>IFERROR(IF(VLOOKUP($H195,'Rate Card'!$A$26:$D$29,3,FALSE)&lt;VLOOKUP($B195,'Rate Card'!$A$33:$F$50,4,FALSE),1+VLOOKUP($B195,'Rate Card'!$A$33:$F$50,5,FALSE),1),"")</f>
        <v/>
      </c>
      <c r="L195" s="13">
        <f>IFERROR($E195*$G195*$I195*$J195*$K195,"")</f>
        <v/>
      </c>
      <c r="M195" s="12" t="n"/>
    </row>
    <row r="196">
      <c r="A196" s="12" t="n"/>
      <c r="B196" s="12" t="n"/>
      <c r="C196" s="11">
        <f>IFERROR(VLOOKUP($B196,'Rate Card'!$A$5:$C$22,2,FALSE),"")</f>
        <v/>
      </c>
      <c r="D196" s="12" t="n"/>
      <c r="E196" s="6" t="n"/>
      <c r="F196" s="11">
        <f>IFERROR(VLOOKUP($B196,'Rate Card'!$A$5:$C$22,3,FALSE),"")</f>
        <v/>
      </c>
      <c r="G196" s="13">
        <f>IFERROR(VLOOKUP($B196,'Rate Card'!$A$5:$G$22,MATCH($D196,'Rate Card'!$D$4:$G$4,0)+3,FALSE),"")</f>
        <v/>
      </c>
      <c r="H196" s="12" t="n"/>
      <c r="I196" s="13">
        <f>IFERROR(IF(VLOOKUP($B196,'Rate Card'!$A$33:$F$50,6,FALSE)=0,1,VLOOKUP($H196,'Rate Card'!$A$26:$D$29,2,FALSE)),"")</f>
        <v/>
      </c>
      <c r="J196" s="6" t="n"/>
      <c r="K196" s="13">
        <f>IFERROR(IF(VLOOKUP($H196,'Rate Card'!$A$26:$D$29,3,FALSE)&lt;VLOOKUP($B196,'Rate Card'!$A$33:$F$50,4,FALSE),1+VLOOKUP($B196,'Rate Card'!$A$33:$F$50,5,FALSE),1),"")</f>
        <v/>
      </c>
      <c r="L196" s="13">
        <f>IFERROR($E196*$G196*$I196*$J196*$K196,"")</f>
        <v/>
      </c>
      <c r="M196" s="12" t="n"/>
    </row>
    <row r="197">
      <c r="A197" s="12" t="n"/>
      <c r="B197" s="12" t="n"/>
      <c r="C197" s="11">
        <f>IFERROR(VLOOKUP($B197,'Rate Card'!$A$5:$C$22,2,FALSE),"")</f>
        <v/>
      </c>
      <c r="D197" s="12" t="n"/>
      <c r="E197" s="6" t="n"/>
      <c r="F197" s="11">
        <f>IFERROR(VLOOKUP($B197,'Rate Card'!$A$5:$C$22,3,FALSE),"")</f>
        <v/>
      </c>
      <c r="G197" s="13">
        <f>IFERROR(VLOOKUP($B197,'Rate Card'!$A$5:$G$22,MATCH($D197,'Rate Card'!$D$4:$G$4,0)+3,FALSE),"")</f>
        <v/>
      </c>
      <c r="H197" s="12" t="n"/>
      <c r="I197" s="13">
        <f>IFERROR(IF(VLOOKUP($B197,'Rate Card'!$A$33:$F$50,6,FALSE)=0,1,VLOOKUP($H197,'Rate Card'!$A$26:$D$29,2,FALSE)),"")</f>
        <v/>
      </c>
      <c r="J197" s="6" t="n"/>
      <c r="K197" s="13">
        <f>IFERROR(IF(VLOOKUP($H197,'Rate Card'!$A$26:$D$29,3,FALSE)&lt;VLOOKUP($B197,'Rate Card'!$A$33:$F$50,4,FALSE),1+VLOOKUP($B197,'Rate Card'!$A$33:$F$50,5,FALSE),1),"")</f>
        <v/>
      </c>
      <c r="L197" s="13">
        <f>IFERROR($E197*$G197*$I197*$J197*$K197,"")</f>
        <v/>
      </c>
      <c r="M197" s="12" t="n"/>
    </row>
    <row r="198">
      <c r="A198" s="12" t="n"/>
      <c r="B198" s="12" t="n"/>
      <c r="C198" s="11">
        <f>IFERROR(VLOOKUP($B198,'Rate Card'!$A$5:$C$22,2,FALSE),"")</f>
        <v/>
      </c>
      <c r="D198" s="12" t="n"/>
      <c r="E198" s="6" t="n"/>
      <c r="F198" s="11">
        <f>IFERROR(VLOOKUP($B198,'Rate Card'!$A$5:$C$22,3,FALSE),"")</f>
        <v/>
      </c>
      <c r="G198" s="13">
        <f>IFERROR(VLOOKUP($B198,'Rate Card'!$A$5:$G$22,MATCH($D198,'Rate Card'!$D$4:$G$4,0)+3,FALSE),"")</f>
        <v/>
      </c>
      <c r="H198" s="12" t="n"/>
      <c r="I198" s="13">
        <f>IFERROR(IF(VLOOKUP($B198,'Rate Card'!$A$33:$F$50,6,FALSE)=0,1,VLOOKUP($H198,'Rate Card'!$A$26:$D$29,2,FALSE)),"")</f>
        <v/>
      </c>
      <c r="J198" s="6" t="n"/>
      <c r="K198" s="13">
        <f>IFERROR(IF(VLOOKUP($H198,'Rate Card'!$A$26:$D$29,3,FALSE)&lt;VLOOKUP($B198,'Rate Card'!$A$33:$F$50,4,FALSE),1+VLOOKUP($B198,'Rate Card'!$A$33:$F$50,5,FALSE),1),"")</f>
        <v/>
      </c>
      <c r="L198" s="13">
        <f>IFERROR($E198*$G198*$I198*$J198*$K198,"")</f>
        <v/>
      </c>
      <c r="M198" s="12" t="n"/>
    </row>
    <row r="199">
      <c r="A199" s="12" t="n"/>
      <c r="B199" s="12" t="n"/>
      <c r="C199" s="11">
        <f>IFERROR(VLOOKUP($B199,'Rate Card'!$A$5:$C$22,2,FALSE),"")</f>
        <v/>
      </c>
      <c r="D199" s="12" t="n"/>
      <c r="E199" s="6" t="n"/>
      <c r="F199" s="11">
        <f>IFERROR(VLOOKUP($B199,'Rate Card'!$A$5:$C$22,3,FALSE),"")</f>
        <v/>
      </c>
      <c r="G199" s="13">
        <f>IFERROR(VLOOKUP($B199,'Rate Card'!$A$5:$G$22,MATCH($D199,'Rate Card'!$D$4:$G$4,0)+3,FALSE),"")</f>
        <v/>
      </c>
      <c r="H199" s="12" t="n"/>
      <c r="I199" s="13">
        <f>IFERROR(IF(VLOOKUP($B199,'Rate Card'!$A$33:$F$50,6,FALSE)=0,1,VLOOKUP($H199,'Rate Card'!$A$26:$D$29,2,FALSE)),"")</f>
        <v/>
      </c>
      <c r="J199" s="6" t="n"/>
      <c r="K199" s="13">
        <f>IFERROR(IF(VLOOKUP($H199,'Rate Card'!$A$26:$D$29,3,FALSE)&lt;VLOOKUP($B199,'Rate Card'!$A$33:$F$50,4,FALSE),1+VLOOKUP($B199,'Rate Card'!$A$33:$F$50,5,FALSE),1),"")</f>
        <v/>
      </c>
      <c r="L199" s="13">
        <f>IFERROR($E199*$G199*$I199*$J199*$K199,"")</f>
        <v/>
      </c>
      <c r="M199" s="12" t="n"/>
    </row>
    <row r="200">
      <c r="A200" s="12" t="n"/>
      <c r="B200" s="12" t="n"/>
      <c r="C200" s="11">
        <f>IFERROR(VLOOKUP($B200,'Rate Card'!$A$5:$C$22,2,FALSE),"")</f>
        <v/>
      </c>
      <c r="D200" s="12" t="n"/>
      <c r="E200" s="6" t="n"/>
      <c r="F200" s="11">
        <f>IFERROR(VLOOKUP($B200,'Rate Card'!$A$5:$C$22,3,FALSE),"")</f>
        <v/>
      </c>
      <c r="G200" s="13">
        <f>IFERROR(VLOOKUP($B200,'Rate Card'!$A$5:$G$22,MATCH($D200,'Rate Card'!$D$4:$G$4,0)+3,FALSE),"")</f>
        <v/>
      </c>
      <c r="H200" s="12" t="n"/>
      <c r="I200" s="13">
        <f>IFERROR(IF(VLOOKUP($B200,'Rate Card'!$A$33:$F$50,6,FALSE)=0,1,VLOOKUP($H200,'Rate Card'!$A$26:$D$29,2,FALSE)),"")</f>
        <v/>
      </c>
      <c r="J200" s="6" t="n"/>
      <c r="K200" s="13">
        <f>IFERROR(IF(VLOOKUP($H200,'Rate Card'!$A$26:$D$29,3,FALSE)&lt;VLOOKUP($B200,'Rate Card'!$A$33:$F$50,4,FALSE),1+VLOOKUP($B200,'Rate Card'!$A$33:$F$50,5,FALSE),1),"")</f>
        <v/>
      </c>
      <c r="L200" s="13">
        <f>IFERROR($E200*$G200*$I200*$J200*$K200,"")</f>
        <v/>
      </c>
      <c r="M200" s="12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14">
        <f>SUM(L4:L200)</f>
        <v/>
      </c>
      <c r="M202" s="5" t="inlineStr">
        <is>
          <t>Tổng chưa buffer</t>
        </is>
      </c>
    </row>
  </sheetData>
  <mergeCells count="1">
    <mergeCell ref="A1:M1"/>
  </mergeCells>
  <dataValidations count="3">
    <dataValidation sqref="B4:B200" showDropDown="0" showInputMessage="0" showErrorMessage="0" allowBlank="1" type="list">
      <formula1>"G1,A1,G2,A2,A2b,G3,A3,S1,S2,A4,G4,A4b,A5,S3,S4,R1,G5,A6"</formula1>
    </dataValidation>
    <dataValidation sqref="D4:D200" showDropDown="0" showInputMessage="0" showErrorMessage="0" allowBlank="1" type="list">
      <formula1>"S,M,L,XL"</formula1>
    </dataValidation>
    <dataValidation sqref="H4:H200" showDropDown="0" showInputMessage="0" showErrorMessage="0" allowBlank="1" type="list">
      <formula1>"Fresher,Junior,Middle,Senior"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8" customWidth="1" min="4" max="4"/>
    <col width="20" customWidth="1" min="5" max="5"/>
  </cols>
  <sheetData>
    <row r="1" ht="24" customHeight="1">
      <c r="A1" s="1" t="inlineStr">
        <is>
          <t>ESTIMATE SUMMARY — effort theo hoạt động, theo level, theo function</t>
        </is>
      </c>
    </row>
    <row r="3">
      <c r="A3" s="2" t="inlineStr">
        <is>
          <t>1. EFFORT THEO HOẠT ĐỘNG</t>
        </is>
      </c>
      <c r="B3" s="3" t="n"/>
      <c r="C3" s="3" t="n"/>
      <c r="D3" s="3" t="n"/>
      <c r="E3" s="3" t="n"/>
    </row>
    <row r="4">
      <c r="A4" s="4" t="inlineStr">
        <is>
          <t>Code</t>
        </is>
      </c>
      <c r="B4" s="4" t="inlineStr">
        <is>
          <t>Activity</t>
        </is>
      </c>
      <c r="C4" s="4" t="inlineStr">
        <is>
          <t>Manhour</t>
        </is>
      </c>
      <c r="D4" s="4" t="inlineStr">
        <is>
          <t>% tổng</t>
        </is>
      </c>
    </row>
    <row r="5">
      <c r="A5" s="5" t="inlineStr">
        <is>
          <t>G1</t>
        </is>
      </c>
      <c r="B5" s="5" t="inlineStr">
        <is>
          <t>Chuẩn bị input + chỉ định AI gen ticket task test</t>
        </is>
      </c>
      <c r="C5" s="13">
        <f>SUMIF('Estimate Detail'!$B$4:$B$200,$A5,'Estimate Detail'!$L$4:$L$200)</f>
        <v/>
      </c>
      <c r="D5" s="15">
        <f>IFERROR(C5/$C$23,"")</f>
        <v/>
      </c>
    </row>
    <row r="6">
      <c r="A6" s="5" t="inlineStr">
        <is>
          <t>A1</t>
        </is>
      </c>
      <c r="B6" s="5" t="inlineStr">
        <is>
          <t>Review ticket task test AI gen</t>
        </is>
      </c>
      <c r="C6" s="13">
        <f>SUMIF('Estimate Detail'!$B$4:$B$200,$A6,'Estimate Detail'!$L$4:$L$200)</f>
        <v/>
      </c>
      <c r="D6" s="15">
        <f>IFERROR(C6/$C$23,"")</f>
        <v/>
      </c>
    </row>
    <row r="7">
      <c r="A7" s="5" t="inlineStr">
        <is>
          <t>G2</t>
        </is>
      </c>
      <c r="B7" s="5" t="inlineStr">
        <is>
          <t>Dựng manifest + chỉ định AI gen requirement</t>
        </is>
      </c>
      <c r="C7" s="13">
        <f>SUMIF('Estimate Detail'!$B$4:$B$200,$A7,'Estimate Detail'!$L$4:$L$200)</f>
        <v/>
      </c>
      <c r="D7" s="15">
        <f>IFERROR(C7/$C$23,"")</f>
        <v/>
      </c>
    </row>
    <row r="8">
      <c r="A8" s="5" t="inlineStr">
        <is>
          <t>A2</t>
        </is>
      </c>
      <c r="B8" s="5" t="inlineStr">
        <is>
          <t>Đọc hiểu + review requirement AI tạo</t>
        </is>
      </c>
      <c r="C8" s="13">
        <f>SUMIF('Estimate Detail'!$B$4:$B$200,$A8,'Estimate Detail'!$L$4:$L$200)</f>
        <v/>
      </c>
      <c r="D8" s="15">
        <f>IFERROR(C8/$C$23,"")</f>
        <v/>
      </c>
    </row>
    <row r="9">
      <c r="A9" s="5" t="inlineStr">
        <is>
          <t>A2b</t>
        </is>
      </c>
      <c r="B9" s="5" t="inlineStr">
        <is>
          <t>Q&amp;A phân tích yêu cầu + confirm với PO</t>
        </is>
      </c>
      <c r="C9" s="13">
        <f>SUMIF('Estimate Detail'!$B$4:$B$200,$A9,'Estimate Detail'!$L$4:$L$200)</f>
        <v/>
      </c>
      <c r="D9" s="15">
        <f>IFERROR(C9/$C$23,"")</f>
        <v/>
      </c>
    </row>
    <row r="10">
      <c r="A10" s="5" t="inlineStr">
        <is>
          <t>G3</t>
        </is>
      </c>
      <c r="B10" s="5" t="inlineStr">
        <is>
          <t>Chỉ định AI gen test case</t>
        </is>
      </c>
      <c r="C10" s="13">
        <f>SUMIF('Estimate Detail'!$B$4:$B$200,$A10,'Estimate Detail'!$L$4:$L$200)</f>
        <v/>
      </c>
      <c r="D10" s="15">
        <f>IFERROR(C10/$C$23,"")</f>
        <v/>
      </c>
    </row>
    <row r="11">
      <c r="A11" s="5" t="inlineStr">
        <is>
          <t>A3</t>
        </is>
      </c>
      <c r="B11" s="5" t="inlineStr">
        <is>
          <t>Review test case AI gen + update</t>
        </is>
      </c>
      <c r="C11" s="13">
        <f>SUMIF('Estimate Detail'!$B$4:$B$200,$A11,'Estimate Detail'!$L$4:$L$200)</f>
        <v/>
      </c>
      <c r="D11" s="15">
        <f>IFERROR(C11/$C$23,"")</f>
        <v/>
      </c>
    </row>
    <row r="12">
      <c r="A12" s="5" t="inlineStr">
        <is>
          <t>S1</t>
        </is>
      </c>
      <c r="B12" s="5" t="inlineStr">
        <is>
          <t>Setup môi trường test + account / quyền</t>
        </is>
      </c>
      <c r="C12" s="13">
        <f>SUMIF('Estimate Detail'!$B$4:$B$200,$A12,'Estimate Detail'!$L$4:$L$200)</f>
        <v/>
      </c>
      <c r="D12" s="15">
        <f>IFERROR(C12/$C$23,"")</f>
        <v/>
      </c>
    </row>
    <row r="13">
      <c r="A13" s="5" t="inlineStr">
        <is>
          <t>S2</t>
        </is>
      </c>
      <c r="B13" s="5" t="inlineStr">
        <is>
          <t>Chuẩn bị test data</t>
        </is>
      </c>
      <c r="C13" s="13">
        <f>SUMIF('Estimate Detail'!$B$4:$B$200,$A13,'Estimate Detail'!$L$4:$L$200)</f>
        <v/>
      </c>
      <c r="D13" s="15">
        <f>IFERROR(C13/$C$23,"")</f>
        <v/>
      </c>
    </row>
    <row r="14">
      <c r="A14" s="5" t="inlineStr">
        <is>
          <t>A4</t>
        </is>
      </c>
      <c r="B14" s="5" t="inlineStr">
        <is>
          <t>Execute test</t>
        </is>
      </c>
      <c r="C14" s="13">
        <f>SUMIF('Estimate Detail'!$B$4:$B$200,$A14,'Estimate Detail'!$L$4:$L$200)</f>
        <v/>
      </c>
      <c r="D14" s="15">
        <f>IFERROR(C14/$C$23,"")</f>
        <v/>
      </c>
    </row>
    <row r="15">
      <c r="A15" s="5" t="inlineStr">
        <is>
          <t>G4</t>
        </is>
      </c>
      <c r="B15" s="5" t="inlineStr">
        <is>
          <t>Cung cấp evidence + chỉ định AI log bug</t>
        </is>
      </c>
      <c r="C15" s="13">
        <f>SUMIF('Estimate Detail'!$B$4:$B$200,$A15,'Estimate Detail'!$L$4:$L$200)</f>
        <v/>
      </c>
      <c r="D15" s="15">
        <f>IFERROR(C15/$C$23,"")</f>
        <v/>
      </c>
    </row>
    <row r="16">
      <c r="A16" s="5" t="inlineStr">
        <is>
          <t>A4b</t>
        </is>
      </c>
      <c r="B16" s="5" t="inlineStr">
        <is>
          <t>Review bug AI log (dedupe / severity / repro)</t>
        </is>
      </c>
      <c r="C16" s="13">
        <f>SUMIF('Estimate Detail'!$B$4:$B$200,$A16,'Estimate Detail'!$L$4:$L$200)</f>
        <v/>
      </c>
      <c r="D16" s="15">
        <f>IFERROR(C16/$C$23,"")</f>
        <v/>
      </c>
    </row>
    <row r="17">
      <c r="A17" s="5" t="inlineStr">
        <is>
          <t>A5</t>
        </is>
      </c>
      <c r="B17" s="5" t="inlineStr">
        <is>
          <t>Verify bug</t>
        </is>
      </c>
      <c r="C17" s="13">
        <f>SUMIF('Estimate Detail'!$B$4:$B$200,$A17,'Estimate Detail'!$L$4:$L$200)</f>
        <v/>
      </c>
      <c r="D17" s="15">
        <f>IFERROR(C17/$C$23,"")</f>
        <v/>
      </c>
    </row>
    <row r="18">
      <c r="A18" s="5" t="inlineStr">
        <is>
          <t>S3</t>
        </is>
      </c>
      <c r="B18" s="5" t="inlineStr">
        <is>
          <t>Follow-up bug (reject / reopen / trao đổi dev)</t>
        </is>
      </c>
      <c r="C18" s="13">
        <f>SUMIF('Estimate Detail'!$B$4:$B$200,$A18,'Estimate Detail'!$L$4:$L$200)</f>
        <v/>
      </c>
      <c r="D18" s="15">
        <f>IFERROR(C18/$C$23,"")</f>
        <v/>
      </c>
    </row>
    <row r="19">
      <c r="A19" s="5" t="inlineStr">
        <is>
          <t>S4</t>
        </is>
      </c>
      <c r="B19" s="5" t="inlineStr">
        <is>
          <t>Regression test vùng ảnh hưởng</t>
        </is>
      </c>
      <c r="C19" s="13">
        <f>SUMIF('Estimate Detail'!$B$4:$B$200,$A19,'Estimate Detail'!$L$4:$L$200)</f>
        <v/>
      </c>
      <c r="D19" s="15">
        <f>IFERROR(C19/$C$23,"")</f>
        <v/>
      </c>
    </row>
    <row r="20">
      <c r="A20" s="5" t="inlineStr">
        <is>
          <t>R1</t>
        </is>
      </c>
      <c r="B20" s="5" t="inlineStr">
        <is>
          <t>Re-prompt + review lại (rework output AI / requirement đổi)</t>
        </is>
      </c>
      <c r="C20" s="13">
        <f>SUMIF('Estimate Detail'!$B$4:$B$200,$A20,'Estimate Detail'!$L$4:$L$200)</f>
        <v/>
      </c>
      <c r="D20" s="15">
        <f>IFERROR(C20/$C$23,"")</f>
        <v/>
      </c>
    </row>
    <row r="21">
      <c r="A21" s="5" t="inlineStr">
        <is>
          <t>G5</t>
        </is>
      </c>
      <c r="B21" s="5" t="inlineStr">
        <is>
          <t>Chỉ định AI gen test report</t>
        </is>
      </c>
      <c r="C21" s="13">
        <f>SUMIF('Estimate Detail'!$B$4:$B$200,$A21,'Estimate Detail'!$L$4:$L$200)</f>
        <v/>
      </c>
      <c r="D21" s="15">
        <f>IFERROR(C21/$C$23,"")</f>
        <v/>
      </c>
    </row>
    <row r="22">
      <c r="A22" s="5" t="inlineStr">
        <is>
          <t>A6</t>
        </is>
      </c>
      <c r="B22" s="5" t="inlineStr">
        <is>
          <t>Review + chốt test report, cập nhật status ticket</t>
        </is>
      </c>
      <c r="C22" s="13">
        <f>SUMIF('Estimate Detail'!$B$4:$B$200,$A22,'Estimate Detail'!$L$4:$L$200)</f>
        <v/>
      </c>
      <c r="D22" s="15">
        <f>IFERROR(C22/$C$23,"")</f>
        <v/>
      </c>
    </row>
    <row r="23">
      <c r="A23" s="5" t="n"/>
      <c r="B23" s="16" t="inlineStr">
        <is>
          <t>Subtotal (chưa buffer)</t>
        </is>
      </c>
      <c r="C23" s="14">
        <f>SUM(C5:C22)</f>
        <v/>
      </c>
    </row>
    <row r="24">
      <c r="A24" s="5" t="n"/>
      <c r="B24" s="16" t="inlineStr">
        <is>
          <t>Buffer risk</t>
        </is>
      </c>
      <c r="C24" s="14">
        <f>C23*buffer_pct</f>
        <v/>
      </c>
    </row>
    <row r="25">
      <c r="A25" s="5" t="n"/>
      <c r="B25" s="16" t="inlineStr">
        <is>
          <t>TOTAL manhour</t>
        </is>
      </c>
      <c r="C25" s="14">
        <f>C23+C24</f>
        <v/>
      </c>
    </row>
    <row r="26">
      <c r="A26" s="5" t="n"/>
      <c r="B26" s="16" t="inlineStr">
        <is>
          <t>TOTAL manday</t>
        </is>
      </c>
      <c r="C26" s="14">
        <f>C25/hours_per_manday</f>
        <v/>
      </c>
    </row>
    <row r="28">
      <c r="A28" s="2" t="inlineStr">
        <is>
          <t>2. EFFORT THEO LEVEL NHÂN SỰ (không tính số người — chỉ level)</t>
        </is>
      </c>
      <c r="B28" s="3" t="n"/>
      <c r="C28" s="3" t="n"/>
      <c r="D28" s="3" t="n"/>
      <c r="E28" s="3" t="n"/>
    </row>
    <row r="29">
      <c r="A29" s="4" t="inlineStr">
        <is>
          <t>Level</t>
        </is>
      </c>
      <c r="B29" s="4" t="inlineStr">
        <is>
          <t>Manhour</t>
        </is>
      </c>
      <c r="C29" s="4" t="inlineStr">
        <is>
          <t>Manday (chưa buffer)</t>
        </is>
      </c>
      <c r="D29" s="4" t="inlineStr">
        <is>
          <t>Manday (có buffer)</t>
        </is>
      </c>
    </row>
    <row r="30">
      <c r="A30" s="5" t="inlineStr">
        <is>
          <t>Fresher</t>
        </is>
      </c>
      <c r="B30" s="13">
        <f>SUMIF('Estimate Detail'!$H$4:$H$200,$A30,'Estimate Detail'!$L$4:$L$200)</f>
        <v/>
      </c>
      <c r="C30" s="13">
        <f>B30/hours_per_manday</f>
        <v/>
      </c>
      <c r="D30" s="13">
        <f>B30*(1+buffer_pct)/hours_per_manday</f>
        <v/>
      </c>
    </row>
    <row r="31">
      <c r="A31" s="5" t="inlineStr">
        <is>
          <t>Junior</t>
        </is>
      </c>
      <c r="B31" s="13">
        <f>SUMIF('Estimate Detail'!$H$4:$H$200,$A31,'Estimate Detail'!$L$4:$L$200)</f>
        <v/>
      </c>
      <c r="C31" s="13">
        <f>B31/hours_per_manday</f>
        <v/>
      </c>
      <c r="D31" s="13">
        <f>B31*(1+buffer_pct)/hours_per_manday</f>
        <v/>
      </c>
    </row>
    <row r="32">
      <c r="A32" s="5" t="inlineStr">
        <is>
          <t>Middle</t>
        </is>
      </c>
      <c r="B32" s="13">
        <f>SUMIF('Estimate Detail'!$H$4:$H$200,$A32,'Estimate Detail'!$L$4:$L$200)</f>
        <v/>
      </c>
      <c r="C32" s="13">
        <f>B32/hours_per_manday</f>
        <v/>
      </c>
      <c r="D32" s="13">
        <f>B32*(1+buffer_pct)/hours_per_manday</f>
        <v/>
      </c>
    </row>
    <row r="33">
      <c r="A33" s="5" t="inlineStr">
        <is>
          <t>Senior</t>
        </is>
      </c>
      <c r="B33" s="13">
        <f>SUMIF('Estimate Detail'!$H$4:$H$200,$A33,'Estimate Detail'!$L$4:$L$200)</f>
        <v/>
      </c>
      <c r="C33" s="13">
        <f>B33/hours_per_manday</f>
        <v/>
      </c>
      <c r="D33" s="13">
        <f>B33*(1+buffer_pct)/hours_per_manday</f>
        <v/>
      </c>
    </row>
    <row r="34">
      <c r="A34" s="16" t="inlineStr">
        <is>
          <t>Tổng</t>
        </is>
      </c>
      <c r="B34" s="17">
        <f>SUM(B30:B33)</f>
        <v/>
      </c>
      <c r="C34" s="17">
        <f>SUM(C30:C33)</f>
        <v/>
      </c>
      <c r="D34" s="17">
        <f>SUM(D30:D33)</f>
        <v/>
      </c>
    </row>
    <row r="36">
      <c r="A36" s="2" t="inlineStr">
        <is>
          <t>3. EFFORT THEO FUNCTION / MODULE</t>
        </is>
      </c>
      <c r="B36" s="3" t="n"/>
      <c r="C36" s="3" t="n"/>
      <c r="D36" s="3" t="n"/>
      <c r="E36" s="3" t="n"/>
    </row>
    <row r="37">
      <c r="A37" s="4" t="inlineStr">
        <is>
          <t>Function</t>
        </is>
      </c>
      <c r="B37" s="4" t="inlineStr">
        <is>
          <t>Manhour</t>
        </is>
      </c>
      <c r="C37" s="4" t="inlineStr">
        <is>
          <t>Manday (có buffer)</t>
        </is>
      </c>
    </row>
    <row r="38">
      <c r="A38" s="12" t="inlineStr">
        <is>
          <t>sample_module</t>
        </is>
      </c>
      <c r="B38" s="13">
        <f>IFERROR(SUMIF('Estimate Detail'!$A$4:$A$200,$A38,'Estimate Detail'!$L$4:$L$200),"")</f>
        <v/>
      </c>
      <c r="C38" s="13">
        <f>IFERROR(B38*(1+buffer_pct)/hours_per_manday,"")</f>
        <v/>
      </c>
    </row>
    <row r="39">
      <c r="A39" s="12" t="inlineStr">
        <is>
          <t>project_level</t>
        </is>
      </c>
      <c r="B39" s="13">
        <f>IFERROR(SUMIF('Estimate Detail'!$A$4:$A$200,$A39,'Estimate Detail'!$L$4:$L$200),"")</f>
        <v/>
      </c>
      <c r="C39" s="13">
        <f>IFERROR(B39*(1+buffer_pct)/hours_per_manday,"")</f>
        <v/>
      </c>
    </row>
    <row r="40">
      <c r="A40" s="12" t="n"/>
      <c r="B40" s="13">
        <f>IFERROR(SUMIF('Estimate Detail'!$A$4:$A$200,$A40,'Estimate Detail'!$L$4:$L$200),"")</f>
        <v/>
      </c>
      <c r="C40" s="13">
        <f>IFERROR(B40*(1+buffer_pct)/hours_per_manday,"")</f>
        <v/>
      </c>
    </row>
    <row r="41">
      <c r="A41" s="12" t="n"/>
      <c r="B41" s="13">
        <f>IFERROR(SUMIF('Estimate Detail'!$A$4:$A$200,$A41,'Estimate Detail'!$L$4:$L$200),"")</f>
        <v/>
      </c>
      <c r="C41" s="13">
        <f>IFERROR(B41*(1+buffer_pct)/hours_per_manday,"")</f>
        <v/>
      </c>
    </row>
    <row r="42">
      <c r="A42" s="12" t="n"/>
      <c r="B42" s="13">
        <f>IFERROR(SUMIF('Estimate Detail'!$A$4:$A$200,$A42,'Estimate Detail'!$L$4:$L$200),"")</f>
        <v/>
      </c>
      <c r="C42" s="13">
        <f>IFERROR(B42*(1+buffer_pct)/hours_per_manday,"")</f>
        <v/>
      </c>
    </row>
    <row r="43">
      <c r="A43" s="12" t="n"/>
      <c r="B43" s="13">
        <f>IFERROR(SUMIF('Estimate Detail'!$A$4:$A$200,$A43,'Estimate Detail'!$L$4:$L$200),"")</f>
        <v/>
      </c>
      <c r="C43" s="13">
        <f>IFERROR(B43*(1+buffer_pct)/hours_per_manday,"")</f>
        <v/>
      </c>
    </row>
    <row r="44">
      <c r="A44" s="12" t="n"/>
      <c r="B44" s="13">
        <f>IFERROR(SUMIF('Estimate Detail'!$A$4:$A$200,$A44,'Estimate Detail'!$L$4:$L$200),"")</f>
        <v/>
      </c>
      <c r="C44" s="13">
        <f>IFERROR(B44*(1+buffer_pct)/hours_per_manday,"")</f>
        <v/>
      </c>
    </row>
    <row r="45">
      <c r="A45" s="12" t="n"/>
      <c r="B45" s="13">
        <f>IFERROR(SUMIF('Estimate Detail'!$A$4:$A$200,$A45,'Estimate Detail'!$L$4:$L$200),"")</f>
        <v/>
      </c>
      <c r="C45" s="13">
        <f>IFERROR(B45*(1+buffer_pct)/hours_per_manday,"")</f>
        <v/>
      </c>
    </row>
    <row r="46">
      <c r="A46" s="12" t="n"/>
      <c r="B46" s="13">
        <f>IFERROR(SUMIF('Estimate Detail'!$A$4:$A$200,$A46,'Estimate Detail'!$L$4:$L$200),"")</f>
        <v/>
      </c>
      <c r="C46" s="13">
        <f>IFERROR(B46*(1+buffer_pct)/hours_per_manday,"")</f>
        <v/>
      </c>
    </row>
    <row r="47">
      <c r="A47" s="12" t="n"/>
      <c r="B47" s="13">
        <f>IFERROR(SUMIF('Estimate Detail'!$A$4:$A$200,$A47,'Estimate Detail'!$L$4:$L$200),"")</f>
        <v/>
      </c>
      <c r="C47" s="13">
        <f>IFERROR(B47*(1+buffer_pct)/hours_per_manday,"")</f>
        <v/>
      </c>
    </row>
    <row r="48">
      <c r="A48" s="12" t="n"/>
      <c r="B48" s="13">
        <f>IFERROR(SUMIF('Estimate Detail'!$A$4:$A$200,$A48,'Estimate Detail'!$L$4:$L$200),"")</f>
        <v/>
      </c>
      <c r="C48" s="13">
        <f>IFERROR(B48*(1+buffer_pct)/hours_per_manday,"")</f>
        <v/>
      </c>
    </row>
    <row r="49">
      <c r="A49" s="12" t="n"/>
      <c r="B49" s="13">
        <f>IFERROR(SUMIF('Estimate Detail'!$A$4:$A$200,$A49,'Estimate Detail'!$L$4:$L$200),"")</f>
        <v/>
      </c>
      <c r="C49" s="13">
        <f>IFERROR(B49*(1+buffer_pct)/hours_per_manday,"")</f>
        <v/>
      </c>
    </row>
    <row r="51" ht="30" customHeight="1">
      <c r="A51" s="18" t="inlineStr">
        <is>
          <t>Ghi chú: bản estimate này KHÔNG có cột số nhân sự / duration — giai đoạn estimate chỉ chốt độ phức tạp, khối lượng và LEVEL người thực hiện. Phân bổ người và lịch làm ở bước planning.</t>
        </is>
      </c>
    </row>
  </sheetData>
  <mergeCells count="2">
    <mergeCell ref="A51:E5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40" customWidth="1" min="4" max="4"/>
    <col width="14" customWidth="1" min="5" max="5"/>
    <col width="30" customWidth="1" min="6" max="6"/>
  </cols>
  <sheetData>
    <row r="1" ht="24" customHeight="1">
      <c r="A1" s="1" t="inlineStr">
        <is>
          <t>ASSUMPTIONS &amp; RISKS — mọi giả định làm nên con số estimate</t>
        </is>
      </c>
    </row>
    <row r="3">
      <c r="A3" s="4" t="inlineStr">
        <is>
          <t>#</t>
        </is>
      </c>
      <c r="B3" s="4" t="inlineStr">
        <is>
          <t>Loại</t>
        </is>
      </c>
      <c r="C3" s="4" t="inlineStr">
        <is>
          <t>Nội dung</t>
        </is>
      </c>
      <c r="D3" s="4" t="inlineStr">
        <is>
          <t>Ảnh hưởng tới estimate</t>
        </is>
      </c>
      <c r="E3" s="4" t="inlineStr">
        <is>
          <t>Độ tin cậy</t>
        </is>
      </c>
      <c r="F3" s="4" t="inlineStr">
        <is>
          <t>Nguồn</t>
        </is>
      </c>
    </row>
    <row r="4">
      <c r="A4" s="11" t="n">
        <v>1</v>
      </c>
      <c r="B4" s="5" t="inlineStr">
        <is>
          <t>Assumption</t>
        </is>
      </c>
      <c r="C4" s="5" t="inlineStr">
        <is>
          <t>Base rate là giờ của level Middle; level khác quy đổi qua Level factor</t>
        </is>
      </c>
      <c r="D4" s="5" t="inlineStr">
        <is>
          <t>Toàn bộ cột Adjusted (h)</t>
        </is>
      </c>
      <c r="E4" s="5" t="inlineStr">
        <is>
          <t>Cao</t>
        </is>
      </c>
      <c r="F4" s="5" t="inlineStr">
        <is>
          <t>Rate Card mục 1 + 2</t>
        </is>
      </c>
    </row>
    <row r="5">
      <c r="A5" s="11" t="n">
        <v>2</v>
      </c>
      <c r="B5" s="5" t="inlineStr">
        <is>
          <t>Assumption</t>
        </is>
      </c>
      <c r="C5" s="5" t="inlineStr">
        <is>
          <t>Base rate calibrate 2026-08-18 từ 1 điểm dữ liệu (phản hồi QA: execute ~5 phút/case) + 37 TC đếm thật của event_edit_schedule — CHƯA có log giờ thực tế theo từng activity</t>
        </is>
      </c>
      <c r="D5" s="5" t="inlineStr">
        <is>
          <t>Sai tỷ lệ tổng effort nếu team nhanh/chậm hơn mốc này</t>
        </is>
      </c>
      <c r="E5" s="5" t="inlineStr">
        <is>
          <t>Thấp</t>
        </is>
      </c>
      <c r="F5" s="5" t="inlineStr">
        <is>
          <t>references/estimation-model.md §6</t>
        </is>
      </c>
    </row>
    <row r="6">
      <c r="A6" s="11" t="n">
        <v>3</v>
      </c>
      <c r="B6" s="5" t="inlineStr">
        <is>
          <t>Assumption</t>
        </is>
      </c>
      <c r="C6" s="5" t="inlineStr">
        <is>
          <t>QA tự chạy skill AI → có tính G1..G5; nếu BA/dev chạy thì để Volume = 0</t>
        </is>
      </c>
      <c r="D6" s="5" t="inlineStr">
        <is>
          <t>Toàn bộ nhóm G</t>
        </is>
      </c>
      <c r="E6" s="5" t="inlineStr">
        <is>
          <t>Trung bình</t>
        </is>
      </c>
      <c r="F6" s="5" t="inlineStr">
        <is>
          <t>manifest: context.ai_driver</t>
        </is>
      </c>
    </row>
    <row r="7">
      <c r="A7" s="11" t="n">
        <v>4</v>
      </c>
      <c r="B7" s="5" t="inlineStr">
        <is>
          <t>Assumption</t>
        </is>
      </c>
      <c r="C7" s="5" t="inlineStr">
        <is>
          <t>Giờ họp / communication nằm trong buffer 15%, không có dòng riêng</t>
        </is>
      </c>
      <c r="D7" s="5" t="inlineStr">
        <is>
          <t>buffer_pct</t>
        </is>
      </c>
      <c r="E7" s="5" t="inlineStr">
        <is>
          <t>Trung bình</t>
        </is>
      </c>
      <c r="F7" s="5" t="inlineStr">
        <is>
          <t>Rate Card mục 5</t>
        </is>
      </c>
    </row>
    <row r="8">
      <c r="A8" s="11" t="n">
        <v>5</v>
      </c>
      <c r="B8" s="5" t="inlineStr">
        <is>
          <t>Assumption</t>
        </is>
      </c>
      <c r="C8" s="5" t="inlineStr">
        <is>
          <t>S1 / S2 là project-level — chỉ tính 1 lần ở Function = project_level</t>
        </is>
      </c>
      <c r="D8" s="5" t="inlineStr">
        <is>
          <t>Không nhân lặp theo từng module</t>
        </is>
      </c>
      <c r="E8" s="5" t="inlineStr">
        <is>
          <t>Cao</t>
        </is>
      </c>
      <c r="F8" s="5" t="inlineStr">
        <is>
          <t>SKILL.md §10.2</t>
        </is>
      </c>
    </row>
    <row r="9">
      <c r="A9" s="11" t="n">
        <v>6</v>
      </c>
      <c r="B9" s="5" t="inlineStr">
        <is>
          <t>Assumption</t>
        </is>
      </c>
      <c r="C9" s="5" t="inlineStr">
        <is>
          <t>Bug dự kiến = bugs_per_module (1 bug / chức năng, phase UI test); follow-up = bug × bug_followup_rate</t>
        </is>
      </c>
      <c r="D9" s="5" t="inlineStr">
        <is>
          <t>Volume G4 / A4b / A5 / S3</t>
        </is>
      </c>
      <c r="E9" s="5" t="inlineStr">
        <is>
          <t>Trung bình</t>
        </is>
      </c>
      <c r="F9" s="5" t="inlineStr">
        <is>
          <t>Rate Card mục 5</t>
        </is>
      </c>
    </row>
    <row r="10">
      <c r="A10" s="11" t="n">
        <v>7</v>
      </c>
      <c r="B10" s="5" t="inlineStr">
        <is>
          <t>Open point</t>
        </is>
      </c>
      <c r="C10" s="5" t="inlineStr">
        <is>
          <t>Chưa có testcase_draft.csv → volume TC suy từ (FR+BR+VR) × tc_per_req_item</t>
        </is>
      </c>
      <c r="D10" s="5" t="inlineStr">
        <is>
          <t>Volume A3 / A4 → kéo theo G4 / A4b / A5 / S3 / S4</t>
        </is>
      </c>
      <c r="E10" s="5" t="inlineStr">
        <is>
          <t>Thấp</t>
        </is>
      </c>
      <c r="F10" s="5" t="inlineStr">
        <is>
          <t>references/estimation-model.md §3</t>
        </is>
      </c>
    </row>
    <row r="11">
      <c r="A11" s="11" t="n">
        <v>8</v>
      </c>
      <c r="B11" s="5" t="inlineStr">
        <is>
          <t>Risk</t>
        </is>
      </c>
      <c r="C11" s="5" t="inlineStr">
        <is>
          <t>Multiplier requirement_unstable / ui_japanese / cross_module đã bị VÔ HIỆU (=1.00) vì đếm trùng với tiêu chí chấm complexity — không tự bật lại nếu chưa bỏ tiêu chí tương ứng ở mục 6</t>
        </is>
      </c>
      <c r="D11" s="5" t="inlineStr">
        <is>
          <t>Tránh nhân dồn 2 lần cùng 1 yếu tố</t>
        </is>
      </c>
      <c r="E11" s="5" t="inlineStr">
        <is>
          <t>Cao</t>
        </is>
      </c>
      <c r="F11" s="5" t="inlineStr">
        <is>
          <t>Rate Card mục 4 + mục 6</t>
        </is>
      </c>
    </row>
    <row r="12">
      <c r="A12" s="11" t="n">
        <v>9</v>
      </c>
      <c r="B12" s="5" t="inlineStr">
        <is>
          <t>Risk</t>
        </is>
      </c>
      <c r="C12" s="5" t="inlineStr">
        <is>
          <t>Gán level thấp hơn mức tối thiểu của activity → cộng phụ phí senior review</t>
        </is>
      </c>
      <c r="D12" s="5" t="inlineStr">
        <is>
          <t>Cột Level check tự nhận hệ số &gt; 1</t>
        </is>
      </c>
      <c r="E12" s="5" t="inlineStr">
        <is>
          <t>Cao</t>
        </is>
      </c>
      <c r="F12" s="5" t="inlineStr">
        <is>
          <t>Rate Card mục 3</t>
        </is>
      </c>
    </row>
    <row r="13">
      <c r="A13" s="11" t="n">
        <v>10</v>
      </c>
      <c r="B13" s="5" t="inlineStr">
        <is>
          <t>Risk</t>
        </is>
      </c>
      <c r="C13" s="5" t="inlineStr">
        <is>
          <t>Requirement chưa ổn định (open_points &gt;= 5) → vòng Q&amp;A và rework nhiều hơn 1</t>
        </is>
      </c>
      <c r="D13" s="5" t="inlineStr">
        <is>
          <t>Volume A2b và R1 tăng</t>
        </is>
      </c>
      <c r="E13" s="5" t="inlineStr">
        <is>
          <t>Trung bình</t>
        </is>
      </c>
      <c r="F13" s="5" t="inlineStr">
        <is>
          <t>open_points.md của module</t>
        </is>
      </c>
    </row>
    <row r="14">
      <c r="A14" s="11" t="n">
        <v>11</v>
      </c>
      <c r="B14" s="5" t="inlineStr">
        <is>
          <t>Risk</t>
        </is>
      </c>
      <c r="C14" s="5" t="inlineStr">
        <is>
          <t>Prompt/skill AI còn ở mức pilot → rework_rounds = 2 và multiplier 1.30</t>
        </is>
      </c>
      <c r="D14" s="5" t="inlineStr">
        <is>
          <t>Volume R1 + toàn bộ multiplier</t>
        </is>
      </c>
      <c r="E14" s="5" t="inlineStr">
        <is>
          <t>Trung bình</t>
        </is>
      </c>
      <c r="F14" s="5" t="inlineStr">
        <is>
          <t>manifest: context.ai_output_maturity</t>
        </is>
      </c>
    </row>
    <row r="15">
      <c r="A15" s="11" t="n">
        <v>12</v>
      </c>
      <c r="B15" s="5" t="n"/>
      <c r="C15" s="5" t="n"/>
      <c r="D15" s="5" t="n"/>
      <c r="E15" s="5" t="n"/>
      <c r="F15" s="5" t="n"/>
    </row>
    <row r="16">
      <c r="A16" s="11" t="n">
        <v>13</v>
      </c>
      <c r="B16" s="5" t="n"/>
      <c r="C16" s="5" t="n"/>
      <c r="D16" s="5" t="n"/>
      <c r="E16" s="5" t="n"/>
      <c r="F16" s="5" t="n"/>
    </row>
    <row r="17">
      <c r="A17" s="11" t="n">
        <v>14</v>
      </c>
      <c r="B17" s="5" t="n"/>
      <c r="C17" s="5" t="n"/>
      <c r="D17" s="5" t="n"/>
      <c r="E17" s="5" t="n"/>
      <c r="F17" s="5" t="n"/>
    </row>
    <row r="18">
      <c r="A18" s="11" t="n">
        <v>15</v>
      </c>
      <c r="B18" s="5" t="n"/>
      <c r="C18" s="5" t="n"/>
      <c r="D18" s="5" t="n"/>
      <c r="E18" s="5" t="n"/>
      <c r="F18" s="5" t="n"/>
    </row>
    <row r="19">
      <c r="A19" s="11" t="n">
        <v>16</v>
      </c>
      <c r="B19" s="5" t="n"/>
      <c r="C19" s="5" t="n"/>
      <c r="D19" s="5" t="n"/>
      <c r="E19" s="5" t="n"/>
      <c r="F19" s="5" t="n"/>
    </row>
    <row r="20">
      <c r="A20" s="11" t="n">
        <v>17</v>
      </c>
      <c r="B20" s="5" t="n"/>
      <c r="C20" s="5" t="n"/>
      <c r="D20" s="5" t="n"/>
      <c r="E20" s="5" t="n"/>
      <c r="F20" s="5" t="n"/>
    </row>
    <row r="21">
      <c r="A21" s="11" t="n">
        <v>18</v>
      </c>
      <c r="B21" s="5" t="n"/>
      <c r="C21" s="5" t="n"/>
      <c r="D21" s="5" t="n"/>
      <c r="E21" s="5" t="n"/>
      <c r="F21" s="5" t="n"/>
    </row>
    <row r="22">
      <c r="A22" s="11" t="n">
        <v>19</v>
      </c>
      <c r="B22" s="5" t="n"/>
      <c r="C22" s="5" t="n"/>
      <c r="D22" s="5" t="n"/>
      <c r="E22" s="5" t="n"/>
      <c r="F22" s="5" t="n"/>
    </row>
    <row r="23">
      <c r="A23" s="11" t="n">
        <v>20</v>
      </c>
      <c r="B23" s="5" t="n"/>
      <c r="C23" s="5" t="n"/>
      <c r="D23" s="5" t="n"/>
      <c r="E23" s="5" t="n"/>
      <c r="F23" s="5" t="n"/>
    </row>
    <row r="24">
      <c r="A24" s="11" t="n">
        <v>21</v>
      </c>
      <c r="B24" s="5" t="n"/>
      <c r="C24" s="5" t="n"/>
      <c r="D24" s="5" t="n"/>
      <c r="E24" s="5" t="n"/>
      <c r="F24" s="5" t="n"/>
    </row>
    <row r="25">
      <c r="A25" s="11" t="n">
        <v>22</v>
      </c>
      <c r="B25" s="5" t="n"/>
      <c r="C25" s="5" t="n"/>
      <c r="D25" s="5" t="n"/>
      <c r="E25" s="5" t="n"/>
      <c r="F25" s="5" t="n"/>
    </row>
    <row r="26">
      <c r="A26" s="11" t="n">
        <v>23</v>
      </c>
      <c r="B26" s="5" t="n"/>
      <c r="C26" s="5" t="n"/>
      <c r="D26" s="5" t="n"/>
      <c r="E26" s="5" t="n"/>
      <c r="F26" s="5" t="n"/>
    </row>
  </sheetData>
  <mergeCells count="1">
    <mergeCell ref="A1:F1"/>
  </mergeCells>
  <dataValidations count="2">
    <dataValidation sqref="B4:B100" showDropDown="0" showInputMessage="0" showErrorMessage="0" allowBlank="1" type="list">
      <formula1>"Assumption,Open point,Risk,Level warning"</formula1>
    </dataValidation>
    <dataValidation sqref="E4:E100" showDropDown="0" showInputMessage="0" showErrorMessage="0" allowBlank="1" type="list">
      <formula1>"Cao,Trung bình,Thấp"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2026-08-20T01:34:10Z</dcterms:created>
  <dcterms:modified xmlns:dcterms="http://purl.org/dc/terms/" xmlns:xsi="http://www.w3.org/2001/XMLSchema-instance" xsi:type="dcterms:W3CDTF">2026-08-20T01:34:10Z</dcterms:modified>
</cp:coreProperties>
</file>